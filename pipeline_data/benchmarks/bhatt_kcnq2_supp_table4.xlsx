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TICLES\1-KCNQ2 Syncropatch\Supplement\Table Jan 20 2022\"/>
    </mc:Choice>
  </mc:AlternateContent>
  <bookViews>
    <workbookView xWindow="28680" yWindow="-120" windowWidth="29040" windowHeight="15840" activeTab="2"/>
  </bookViews>
  <sheets>
    <sheet name="Relative to WT channel" sheetId="2" r:id="rId1"/>
    <sheet name="Variant mean values " sheetId="3" r:id="rId2"/>
    <sheet name="Functional phenotype &amp; rescue" sheetId="5" r:id="rId3"/>
  </sheets>
  <definedNames>
    <definedName name="_xlnm._FilterDatabase" localSheetId="2" hidden="1">'Functional phenotype &amp; rescue'!$A$4:$AA$192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5" i="5" l="1"/>
  <c r="V94" i="5"/>
  <c r="V92" i="5"/>
  <c r="V91" i="5"/>
  <c r="V90" i="5"/>
  <c r="V87" i="5"/>
  <c r="V85" i="5"/>
  <c r="V79" i="5"/>
  <c r="V78" i="5"/>
  <c r="V77" i="5"/>
  <c r="V76" i="5"/>
  <c r="W76" i="5" s="1"/>
  <c r="V73" i="5"/>
  <c r="V71" i="5"/>
  <c r="Z71" i="5" s="1"/>
  <c r="V70" i="5"/>
  <c r="X70" i="5" s="1"/>
  <c r="V69" i="5"/>
  <c r="V68" i="5"/>
  <c r="W68" i="5" s="1"/>
  <c r="V67" i="5"/>
  <c r="Z67" i="5" s="1"/>
  <c r="V66" i="5"/>
  <c r="Z66" i="5" s="1"/>
  <c r="V65" i="5"/>
  <c r="X65" i="5" s="1"/>
  <c r="V64" i="5"/>
  <c r="V62" i="5"/>
  <c r="X62" i="5" s="1"/>
  <c r="V61" i="5"/>
  <c r="V60" i="5"/>
  <c r="W60" i="5" s="1"/>
  <c r="V59" i="5"/>
  <c r="X59" i="5" s="1"/>
  <c r="V58" i="5"/>
  <c r="W58" i="5" s="1"/>
  <c r="V57" i="5"/>
  <c r="W57" i="5" s="1"/>
  <c r="V56" i="5"/>
  <c r="Z56" i="5" s="1"/>
  <c r="V55" i="5"/>
  <c r="Z55" i="5" s="1"/>
  <c r="V54" i="5"/>
  <c r="V53" i="5"/>
  <c r="V52" i="5"/>
  <c r="Z52" i="5" s="1"/>
  <c r="V51" i="5"/>
  <c r="Z51" i="5" s="1"/>
  <c r="V50" i="5"/>
  <c r="W50" i="5" s="1"/>
  <c r="V49" i="5"/>
  <c r="X49" i="5" s="1"/>
  <c r="V48" i="5"/>
  <c r="Z48" i="5" s="1"/>
  <c r="V45" i="5"/>
  <c r="W45" i="5" s="1"/>
  <c r="V44" i="5"/>
  <c r="W44" i="5" s="1"/>
  <c r="V42" i="5"/>
  <c r="V40" i="5"/>
  <c r="Z40" i="5" s="1"/>
  <c r="V39" i="5"/>
  <c r="V37" i="5"/>
  <c r="V36" i="5"/>
  <c r="V35" i="5"/>
  <c r="V30" i="5"/>
  <c r="V29" i="5"/>
  <c r="V28" i="5"/>
  <c r="X28" i="5" s="1"/>
  <c r="V27" i="5"/>
  <c r="V34" i="5"/>
  <c r="X73" i="5"/>
  <c r="Z64" i="5"/>
  <c r="W69" i="5"/>
  <c r="W61" i="5"/>
  <c r="W53" i="5"/>
  <c r="W42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W66" i="5" l="1"/>
  <c r="X56" i="5"/>
  <c r="Z53" i="5"/>
  <c r="X51" i="5"/>
  <c r="Z45" i="5"/>
  <c r="Z69" i="5"/>
  <c r="Z49" i="5"/>
  <c r="X67" i="5"/>
  <c r="W55" i="5"/>
  <c r="X64" i="5"/>
  <c r="Z65" i="5"/>
  <c r="Z73" i="5"/>
  <c r="Z61" i="5"/>
  <c r="Z70" i="5"/>
  <c r="Z57" i="5"/>
  <c r="X40" i="5"/>
  <c r="Z42" i="5"/>
  <c r="Z50" i="5"/>
  <c r="Z58" i="5"/>
  <c r="X48" i="5"/>
  <c r="Z59" i="5"/>
  <c r="W71" i="5"/>
  <c r="W52" i="5"/>
  <c r="Z28" i="5"/>
  <c r="Z44" i="5"/>
  <c r="Z60" i="5"/>
  <c r="Z68" i="5"/>
  <c r="Z76" i="5"/>
  <c r="Z62" i="5"/>
  <c r="W67" i="5"/>
  <c r="W51" i="5"/>
  <c r="Y51" i="5"/>
  <c r="Y59" i="5"/>
  <c r="Y67" i="5"/>
  <c r="Y28" i="5"/>
  <c r="Y60" i="5"/>
  <c r="Y68" i="5"/>
  <c r="W48" i="5"/>
  <c r="Y44" i="5"/>
  <c r="Y76" i="5"/>
  <c r="W64" i="5"/>
  <c r="Y52" i="5"/>
  <c r="Y45" i="5"/>
  <c r="Y61" i="5"/>
  <c r="W56" i="5"/>
  <c r="Y48" i="5"/>
  <c r="Y56" i="5"/>
  <c r="Y64" i="5"/>
  <c r="W59" i="5"/>
  <c r="Y40" i="5"/>
  <c r="Y49" i="5"/>
  <c r="Y57" i="5"/>
  <c r="Y65" i="5"/>
  <c r="Y73" i="5"/>
  <c r="W70" i="5"/>
  <c r="Y69" i="5"/>
  <c r="W40" i="5"/>
  <c r="W62" i="5"/>
  <c r="Y42" i="5"/>
  <c r="Y50" i="5"/>
  <c r="Y58" i="5"/>
  <c r="Y66" i="5"/>
  <c r="Y62" i="5"/>
  <c r="Y70" i="5"/>
  <c r="Y53" i="5"/>
  <c r="Y55" i="5"/>
  <c r="Y71" i="5"/>
  <c r="X57" i="5"/>
  <c r="W28" i="5"/>
  <c r="W49" i="5"/>
  <c r="W65" i="5"/>
  <c r="W73" i="5"/>
  <c r="X42" i="5"/>
  <c r="X50" i="5"/>
  <c r="X58" i="5"/>
  <c r="X66" i="5"/>
  <c r="X44" i="5"/>
  <c r="X52" i="5"/>
  <c r="X60" i="5"/>
  <c r="X68" i="5"/>
  <c r="X76" i="5"/>
  <c r="X45" i="5"/>
  <c r="X53" i="5"/>
  <c r="X61" i="5"/>
  <c r="X69" i="5"/>
  <c r="X55" i="5"/>
  <c r="X71" i="5"/>
  <c r="N28" i="5"/>
  <c r="N29" i="5"/>
  <c r="Y29" i="5" s="1"/>
  <c r="N30" i="5"/>
  <c r="Y30" i="5" s="1"/>
  <c r="N31" i="5"/>
  <c r="N32" i="5"/>
  <c r="N33" i="5"/>
  <c r="N34" i="5"/>
  <c r="N35" i="5"/>
  <c r="N36" i="5"/>
  <c r="N37" i="5"/>
  <c r="X37" i="5" s="1"/>
  <c r="N38" i="5"/>
  <c r="V38" i="5" s="1"/>
  <c r="N39" i="5"/>
  <c r="N40" i="5"/>
  <c r="N41" i="5"/>
  <c r="V41" i="5" s="1"/>
  <c r="N42" i="5"/>
  <c r="N43" i="5"/>
  <c r="V43" i="5" s="1"/>
  <c r="N44" i="5"/>
  <c r="N45" i="5"/>
  <c r="N46" i="5"/>
  <c r="V46" i="5" s="1"/>
  <c r="N47" i="5"/>
  <c r="V47" i="5" s="1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V72" i="5" s="1"/>
  <c r="N73" i="5"/>
  <c r="N74" i="5"/>
  <c r="V74" i="5" s="1"/>
  <c r="N75" i="5"/>
  <c r="V75" i="5" s="1"/>
  <c r="N76" i="5"/>
  <c r="N77" i="5"/>
  <c r="Y77" i="5" s="1"/>
  <c r="N78" i="5"/>
  <c r="N79" i="5"/>
  <c r="X79" i="5" s="1"/>
  <c r="N80" i="5"/>
  <c r="N81" i="5"/>
  <c r="V81" i="5" s="1"/>
  <c r="N82" i="5"/>
  <c r="V82" i="5" s="1"/>
  <c r="N83" i="5"/>
  <c r="V83" i="5" s="1"/>
  <c r="N84" i="5"/>
  <c r="N85" i="5"/>
  <c r="Y85" i="5" s="1"/>
  <c r="N86" i="5"/>
  <c r="V86" i="5" s="1"/>
  <c r="N87" i="5"/>
  <c r="Y87" i="5" s="1"/>
  <c r="N88" i="5"/>
  <c r="N89" i="5"/>
  <c r="V89" i="5" s="1"/>
  <c r="N90" i="5"/>
  <c r="N91" i="5"/>
  <c r="N92" i="5"/>
  <c r="N93" i="5"/>
  <c r="V93" i="5" s="1"/>
  <c r="N94" i="5"/>
  <c r="N95" i="5"/>
  <c r="Y95" i="5" s="1"/>
  <c r="N96" i="5"/>
  <c r="N25" i="5"/>
  <c r="V25" i="5" s="1"/>
  <c r="N26" i="5"/>
  <c r="V26" i="5" s="1"/>
  <c r="N27" i="5"/>
  <c r="V88" i="5" l="1"/>
  <c r="W88" i="5" s="1"/>
  <c r="V32" i="5"/>
  <c r="Y32" i="5" s="1"/>
  <c r="V63" i="5"/>
  <c r="Y63" i="5" s="1"/>
  <c r="V31" i="5"/>
  <c r="Z31" i="5" s="1"/>
  <c r="V96" i="5"/>
  <c r="W96" i="5" s="1"/>
  <c r="V80" i="5"/>
  <c r="Y80" i="5" s="1"/>
  <c r="V84" i="5"/>
  <c r="W84" i="5" s="1"/>
  <c r="V33" i="5"/>
  <c r="Y33" i="5" s="1"/>
  <c r="X86" i="5"/>
  <c r="Z86" i="5"/>
  <c r="X46" i="5"/>
  <c r="Z46" i="5"/>
  <c r="W37" i="5"/>
  <c r="Z37" i="5"/>
  <c r="W36" i="5"/>
  <c r="Z36" i="5"/>
  <c r="Y27" i="5"/>
  <c r="Z27" i="5"/>
  <c r="W26" i="5"/>
  <c r="Z26" i="5"/>
  <c r="W82" i="5"/>
  <c r="Z82" i="5"/>
  <c r="W34" i="5"/>
  <c r="Z34" i="5"/>
  <c r="X87" i="5"/>
  <c r="W25" i="5"/>
  <c r="Z25" i="5"/>
  <c r="X89" i="5"/>
  <c r="Z89" i="5"/>
  <c r="W81" i="5"/>
  <c r="Z81" i="5"/>
  <c r="W41" i="5"/>
  <c r="Z41" i="5"/>
  <c r="X94" i="5"/>
  <c r="Z94" i="5"/>
  <c r="W38" i="5"/>
  <c r="Z38" i="5"/>
  <c r="W85" i="5"/>
  <c r="Z85" i="5"/>
  <c r="X38" i="5"/>
  <c r="W92" i="5"/>
  <c r="Z92" i="5"/>
  <c r="X30" i="5"/>
  <c r="X83" i="5"/>
  <c r="Z83" i="5"/>
  <c r="W90" i="5"/>
  <c r="Z90" i="5"/>
  <c r="W74" i="5"/>
  <c r="Z74" i="5"/>
  <c r="Z88" i="5"/>
  <c r="X72" i="5"/>
  <c r="Z72" i="5"/>
  <c r="Y38" i="5"/>
  <c r="Y72" i="5"/>
  <c r="Y41" i="5"/>
  <c r="X54" i="5"/>
  <c r="Z54" i="5"/>
  <c r="W95" i="5"/>
  <c r="Z95" i="5"/>
  <c r="W87" i="5"/>
  <c r="Z87" i="5"/>
  <c r="W79" i="5"/>
  <c r="Z79" i="5"/>
  <c r="W47" i="5"/>
  <c r="Z47" i="5"/>
  <c r="W39" i="5"/>
  <c r="Z39" i="5"/>
  <c r="W77" i="5"/>
  <c r="Z77" i="5"/>
  <c r="X78" i="5"/>
  <c r="Z78" i="5"/>
  <c r="W30" i="5"/>
  <c r="Z30" i="5"/>
  <c r="W93" i="5"/>
  <c r="Z93" i="5"/>
  <c r="W29" i="5"/>
  <c r="Z29" i="5"/>
  <c r="X91" i="5"/>
  <c r="Z91" i="5"/>
  <c r="X75" i="5"/>
  <c r="Z75" i="5"/>
  <c r="X43" i="5"/>
  <c r="Z43" i="5"/>
  <c r="X35" i="5"/>
  <c r="Z35" i="5"/>
  <c r="X95" i="5"/>
  <c r="X77" i="5"/>
  <c r="Y25" i="5"/>
  <c r="Y92" i="5"/>
  <c r="Y54" i="5"/>
  <c r="Y82" i="5"/>
  <c r="W83" i="5"/>
  <c r="X93" i="5"/>
  <c r="X29" i="5"/>
  <c r="X36" i="5"/>
  <c r="Y79" i="5"/>
  <c r="Y46" i="5"/>
  <c r="Y74" i="5"/>
  <c r="Y89" i="5"/>
  <c r="W91" i="5"/>
  <c r="Y35" i="5"/>
  <c r="Y75" i="5"/>
  <c r="Y43" i="5"/>
  <c r="W75" i="5"/>
  <c r="X85" i="5"/>
  <c r="X92" i="5"/>
  <c r="X26" i="5"/>
  <c r="X34" i="5"/>
  <c r="X81" i="5"/>
  <c r="W46" i="5"/>
  <c r="Y37" i="5"/>
  <c r="Y81" i="5"/>
  <c r="W80" i="5"/>
  <c r="Y39" i="5"/>
  <c r="W43" i="5"/>
  <c r="Y90" i="5"/>
  <c r="Y26" i="5"/>
  <c r="X25" i="5"/>
  <c r="Y94" i="5"/>
  <c r="Y91" i="5"/>
  <c r="X47" i="5"/>
  <c r="X82" i="5"/>
  <c r="W89" i="5"/>
  <c r="X41" i="5"/>
  <c r="Y86" i="5"/>
  <c r="W94" i="5"/>
  <c r="W35" i="5"/>
  <c r="W54" i="5"/>
  <c r="Y83" i="5"/>
  <c r="W27" i="5"/>
  <c r="X90" i="5"/>
  <c r="W86" i="5"/>
  <c r="X39" i="5"/>
  <c r="X74" i="5"/>
  <c r="Y47" i="5"/>
  <c r="Y78" i="5"/>
  <c r="W72" i="5"/>
  <c r="W78" i="5"/>
  <c r="Y93" i="5"/>
  <c r="X27" i="5"/>
  <c r="Y36" i="5"/>
  <c r="Y34" i="5"/>
  <c r="X37" i="2"/>
  <c r="Z96" i="5" l="1"/>
  <c r="W63" i="5"/>
  <c r="X33" i="5"/>
  <c r="W31" i="5"/>
  <c r="X63" i="5"/>
  <c r="X32" i="5"/>
  <c r="Z84" i="5"/>
  <c r="Z63" i="5"/>
  <c r="W32" i="5"/>
  <c r="Y84" i="5"/>
  <c r="Z32" i="5"/>
  <c r="Y88" i="5"/>
  <c r="W33" i="5"/>
  <c r="Z80" i="5"/>
  <c r="X84" i="5"/>
  <c r="X31" i="5"/>
  <c r="Y31" i="5"/>
  <c r="X80" i="5"/>
  <c r="Y96" i="5"/>
  <c r="X88" i="5"/>
  <c r="X96" i="5"/>
  <c r="Z33" i="5"/>
  <c r="X84" i="2"/>
  <c r="X25" i="2"/>
  <c r="X82" i="2"/>
  <c r="X77" i="2"/>
  <c r="X79" i="2"/>
  <c r="X29" i="2"/>
  <c r="X83" i="2"/>
  <c r="X46" i="2"/>
  <c r="X30" i="2"/>
  <c r="X27" i="2"/>
  <c r="X21" i="2"/>
  <c r="X36" i="2"/>
  <c r="X71" i="2"/>
  <c r="X28" i="2"/>
  <c r="X26" i="2"/>
  <c r="X22" i="2"/>
  <c r="X54" i="2"/>
  <c r="X80" i="2"/>
  <c r="X86" i="2"/>
  <c r="X19" i="2"/>
  <c r="X31" i="2"/>
  <c r="X67" i="2"/>
  <c r="X85" i="2"/>
  <c r="X24" i="2"/>
  <c r="X18" i="2"/>
  <c r="X70" i="2"/>
  <c r="X88" i="2"/>
  <c r="X68" i="2"/>
  <c r="X69" i="2"/>
  <c r="X87" i="2"/>
  <c r="X66" i="2"/>
  <c r="X33" i="2"/>
  <c r="X75" i="2"/>
  <c r="X74" i="2"/>
  <c r="X64" i="2"/>
  <c r="X17" i="2"/>
  <c r="X32" i="2"/>
  <c r="X39" i="2"/>
  <c r="X35" i="2"/>
  <c r="X51" i="2"/>
  <c r="X38" i="2"/>
  <c r="X56" i="2"/>
  <c r="X40" i="2"/>
  <c r="X72" i="2"/>
  <c r="X41" i="2"/>
  <c r="X47" i="2"/>
  <c r="X34" i="2"/>
  <c r="X52" i="2"/>
  <c r="X60" i="2"/>
  <c r="X76" i="2"/>
  <c r="X57" i="2"/>
  <c r="X44" i="2"/>
  <c r="X65" i="2"/>
  <c r="X78" i="2"/>
  <c r="X59" i="2"/>
  <c r="X73" i="2"/>
  <c r="X61" i="2"/>
  <c r="X20" i="2"/>
  <c r="X81" i="2"/>
  <c r="X62" i="2"/>
  <c r="X23" i="2"/>
  <c r="X43" i="2"/>
  <c r="X53" i="2"/>
  <c r="X58" i="2"/>
  <c r="X42" i="2"/>
  <c r="X48" i="2"/>
  <c r="X55" i="2"/>
  <c r="X63" i="2"/>
  <c r="X50" i="2"/>
  <c r="X45" i="2"/>
  <c r="X49" i="2"/>
</calcChain>
</file>

<file path=xl/sharedStrings.xml><?xml version="1.0" encoding="utf-8"?>
<sst xmlns="http://schemas.openxmlformats.org/spreadsheetml/2006/main" count="1310" uniqueCount="181">
  <si>
    <t>Voltage-dependence of Activation</t>
  </si>
  <si>
    <t>PV</t>
  </si>
  <si>
    <t>V½, mV</t>
  </si>
  <si>
    <t>BFNE</t>
  </si>
  <si>
    <t>Domain</t>
  </si>
  <si>
    <t>Residue #</t>
  </si>
  <si>
    <t>WT aa</t>
  </si>
  <si>
    <t>Var aa</t>
  </si>
  <si>
    <t>Variant</t>
  </si>
  <si>
    <t>Phenotype</t>
  </si>
  <si>
    <t>Literature</t>
  </si>
  <si>
    <t>mean</t>
  </si>
  <si>
    <t>sem</t>
  </si>
  <si>
    <t>n</t>
  </si>
  <si>
    <t>N-term</t>
  </si>
  <si>
    <t>A</t>
  </si>
  <si>
    <t>V</t>
  </si>
  <si>
    <t>L</t>
  </si>
  <si>
    <t>P</t>
  </si>
  <si>
    <t>L81P</t>
  </si>
  <si>
    <t>&lt;0.001</t>
  </si>
  <si>
    <t>TMD: S1</t>
  </si>
  <si>
    <t>F</t>
  </si>
  <si>
    <t>F104L</t>
  </si>
  <si>
    <t>TMD: S1-S2-L</t>
  </si>
  <si>
    <t>S</t>
  </si>
  <si>
    <t>S113F</t>
  </si>
  <si>
    <t>I</t>
  </si>
  <si>
    <t>TMD: S2</t>
  </si>
  <si>
    <t>E</t>
  </si>
  <si>
    <t>K</t>
  </si>
  <si>
    <t>E130K</t>
  </si>
  <si>
    <t>TMD: S2-S3-L</t>
  </si>
  <si>
    <t>R</t>
  </si>
  <si>
    <t>Q</t>
  </si>
  <si>
    <t>R144Q</t>
  </si>
  <si>
    <t>W</t>
  </si>
  <si>
    <t>R144W</t>
  </si>
  <si>
    <t>TMD: S3-S4-L</t>
  </si>
  <si>
    <t>D</t>
  </si>
  <si>
    <t>A193D</t>
  </si>
  <si>
    <t>TMD: S4</t>
  </si>
  <si>
    <t>A196V</t>
  </si>
  <si>
    <t>R198Q</t>
  </si>
  <si>
    <t>C</t>
  </si>
  <si>
    <t>R201C</t>
  </si>
  <si>
    <t>H</t>
  </si>
  <si>
    <t>R201H</t>
  </si>
  <si>
    <t>L203P</t>
  </si>
  <si>
    <t>Q204H</t>
  </si>
  <si>
    <t>R207Q</t>
  </si>
  <si>
    <t>R207W</t>
  </si>
  <si>
    <t>R210H</t>
  </si>
  <si>
    <t>G</t>
  </si>
  <si>
    <t>D212G</t>
  </si>
  <si>
    <t>Y</t>
  </si>
  <si>
    <t>D212Y</t>
  </si>
  <si>
    <t>R214W</t>
  </si>
  <si>
    <t>TMD: S4-S5-L</t>
  </si>
  <si>
    <t>H228R</t>
  </si>
  <si>
    <t>H228Q</t>
  </si>
  <si>
    <t>H228Y</t>
  </si>
  <si>
    <t>TMD: S5</t>
  </si>
  <si>
    <t>I238V</t>
  </si>
  <si>
    <t>L243F</t>
  </si>
  <si>
    <t>TMD: P-loop</t>
  </si>
  <si>
    <t>T</t>
  </si>
  <si>
    <t>M</t>
  </si>
  <si>
    <t>T274M</t>
  </si>
  <si>
    <t>T276I</t>
  </si>
  <si>
    <t>T276P</t>
  </si>
  <si>
    <t>T277I</t>
  </si>
  <si>
    <t>I278T</t>
  </si>
  <si>
    <t>I278V</t>
  </si>
  <si>
    <t>G279C</t>
  </si>
  <si>
    <t>G279S</t>
  </si>
  <si>
    <t>Y280H</t>
  </si>
  <si>
    <t>G281R</t>
  </si>
  <si>
    <t>G281W</t>
  </si>
  <si>
    <t>D282E</t>
  </si>
  <si>
    <t>D282H</t>
  </si>
  <si>
    <t>Y284C</t>
  </si>
  <si>
    <t>Y284D</t>
  </si>
  <si>
    <t>Y284H</t>
  </si>
  <si>
    <t>N</t>
  </si>
  <si>
    <t>Y284N</t>
  </si>
  <si>
    <t>R291G</t>
  </si>
  <si>
    <t>TMD: S6</t>
  </si>
  <si>
    <t>L,L</t>
  </si>
  <si>
    <t>P,F</t>
  </si>
  <si>
    <t>L292P:L293F</t>
  </si>
  <si>
    <t>A294G</t>
  </si>
  <si>
    <t>A294V</t>
  </si>
  <si>
    <t>del</t>
  </si>
  <si>
    <t>F305del</t>
  </si>
  <si>
    <t>A306P</t>
  </si>
  <si>
    <t>A306T</t>
  </si>
  <si>
    <t>A306V</t>
  </si>
  <si>
    <t>C-term</t>
  </si>
  <si>
    <t>R333Q</t>
  </si>
  <si>
    <t>R333W</t>
  </si>
  <si>
    <t>P335L</t>
  </si>
  <si>
    <t>Q375E</t>
  </si>
  <si>
    <t xml:space="preserve">L </t>
  </si>
  <si>
    <t>P410L</t>
  </si>
  <si>
    <t>V543M</t>
  </si>
  <si>
    <t>R560W</t>
  </si>
  <si>
    <t>V567D</t>
  </si>
  <si>
    <t>M578V</t>
  </si>
  <si>
    <t>R581Q</t>
  </si>
  <si>
    <t>Q586P</t>
  </si>
  <si>
    <t>R588S</t>
  </si>
  <si>
    <t>R604C</t>
  </si>
  <si>
    <t>T605S</t>
  </si>
  <si>
    <t>L637R</t>
  </si>
  <si>
    <t>G737S</t>
  </si>
  <si>
    <t>S751L</t>
  </si>
  <si>
    <t>R760H</t>
  </si>
  <si>
    <t>T771I</t>
  </si>
  <si>
    <t>N780T</t>
  </si>
  <si>
    <t>R854C</t>
  </si>
  <si>
    <t>A502V</t>
  </si>
  <si>
    <t>X</t>
  </si>
  <si>
    <r>
      <t>Results are shown as % current density at +40 mV, change in V½, and ratios of the slope (</t>
    </r>
    <r>
      <rPr>
        <b/>
        <i/>
        <sz val="10"/>
        <color theme="1"/>
        <rFont val="Calibri"/>
        <family val="2"/>
        <scheme val="minor"/>
      </rPr>
      <t>k</t>
    </r>
    <r>
      <rPr>
        <b/>
        <sz val="10"/>
        <color theme="1"/>
        <rFont val="Calibri"/>
        <family val="2"/>
        <scheme val="minor"/>
      </rPr>
      <t xml:space="preserve">) of  voltage-dependence of activation curve and the activation time constant (τ )  relative to the WT from a variant transfection batch.  </t>
    </r>
  </si>
  <si>
    <t>CHO-Q3 cells co-electroporated with KCNQ2-variant + KCNQ2-WT</t>
  </si>
  <si>
    <t>WT, study average</t>
  </si>
  <si>
    <t>Activation time constant</t>
  </si>
  <si>
    <r>
      <rPr>
        <b/>
        <sz val="10"/>
        <rFont val="Calibri"/>
        <family val="2"/>
      </rPr>
      <t>Δ</t>
    </r>
    <r>
      <rPr>
        <b/>
        <sz val="10"/>
        <rFont val="Calibri"/>
        <family val="2"/>
        <scheme val="minor"/>
      </rPr>
      <t>V½ from WT+WT</t>
    </r>
  </si>
  <si>
    <t xml:space="preserve">Variant k / WT+WT k  </t>
  </si>
  <si>
    <t xml:space="preserve">Variant τ / WT τ </t>
  </si>
  <si>
    <r>
      <rPr>
        <b/>
        <i/>
        <sz val="10"/>
        <color theme="1"/>
        <rFont val="Calibri"/>
        <family val="2"/>
        <scheme val="minor"/>
      </rPr>
      <t>p</t>
    </r>
    <r>
      <rPr>
        <b/>
        <sz val="10"/>
        <color theme="1"/>
        <rFont val="Calibri"/>
        <family val="2"/>
        <scheme val="minor"/>
      </rPr>
      <t>-value</t>
    </r>
  </si>
  <si>
    <r>
      <rPr>
        <b/>
        <i/>
        <sz val="10"/>
        <rFont val="Calibri"/>
        <family val="2"/>
        <scheme val="minor"/>
      </rPr>
      <t>k</t>
    </r>
    <r>
      <rPr>
        <b/>
        <sz val="10"/>
        <rFont val="Calibri"/>
        <family val="2"/>
        <scheme val="minor"/>
      </rPr>
      <t>, slope</t>
    </r>
  </si>
  <si>
    <t>F701del</t>
  </si>
  <si>
    <t>DEE</t>
  </si>
  <si>
    <t xml:space="preserve"> I @ +40mV</t>
  </si>
  <si>
    <t>I @ +40 mV, pA/pF</t>
  </si>
  <si>
    <t>BFNE/DEE</t>
  </si>
  <si>
    <t>unknown</t>
  </si>
  <si>
    <t>Change in peak current density , %WT</t>
  </si>
  <si>
    <t>Peak current density</t>
  </si>
  <si>
    <t xml:space="preserve"> PV = rare Population Variant; BFNE = Benign Familial Neonatal Epilepsy; DEE= Develpmental Epileptic Encephalopathy </t>
  </si>
  <si>
    <t>GOF</t>
  </si>
  <si>
    <t>% WT</t>
  </si>
  <si>
    <t>LOF</t>
  </si>
  <si>
    <t>I % of WT</t>
  </si>
  <si>
    <t>Functional phenotype of KCNQ2 variants expressed in the homozygous state</t>
  </si>
  <si>
    <t>Protein Domain</t>
  </si>
  <si>
    <t>TMD: S1-S2-Link</t>
  </si>
  <si>
    <t>TMD: S2-S3-Link</t>
  </si>
  <si>
    <t>TMD: S4-S5-Link</t>
  </si>
  <si>
    <t>292, 293</t>
  </si>
  <si>
    <t>HOMOZYGOUS</t>
  </si>
  <si>
    <t>DN</t>
  </si>
  <si>
    <t>I% WT</t>
  </si>
  <si>
    <t>HETEROZYGOUS</t>
  </si>
  <si>
    <t xml:space="preserve">Functional rescue of current amplitude by KCNQ2 WT channel co-expression </t>
  </si>
  <si>
    <t>Functional rescue of KCNQ2 variants when expressed in the heterozygous state</t>
  </si>
  <si>
    <t xml:space="preserve">Functional phenotype based on percent peak current density relative to  the WT channel </t>
  </si>
  <si>
    <t>I% @ +40 mV is smaller than  %WT_LOF</t>
  </si>
  <si>
    <t>I% @ +40 mV  is between %WT_LOF and %WT_mLOF</t>
  </si>
  <si>
    <t>I% @ +40 mV  is between %WT_mLOF and %WT_ GOF</t>
  </si>
  <si>
    <t>I% @ +40 mV  is larger than %WT_ GOF</t>
  </si>
  <si>
    <t>pLOF</t>
  </si>
  <si>
    <t>pR</t>
  </si>
  <si>
    <t>fR</t>
  </si>
  <si>
    <t>Functional effect</t>
  </si>
  <si>
    <t>Dominant Negative</t>
  </si>
  <si>
    <t>Full     Rescue</t>
  </si>
  <si>
    <t xml:space="preserve">      Dominant negative (DN )= I% @ +40 mV is smaller than DN threshold</t>
  </si>
  <si>
    <t>Partial Rescue</t>
  </si>
  <si>
    <t xml:space="preserve">      Full Rescue (fR )= I% @ +40 mV is larger than partial rescue thresholds</t>
  </si>
  <si>
    <t xml:space="preserve">&gt;pR </t>
  </si>
  <si>
    <t xml:space="preserve">Loss of function (LOF) = </t>
  </si>
  <si>
    <t>partial loss of function (pLOF) =</t>
  </si>
  <si>
    <t>Wild-type like( N) =</t>
  </si>
  <si>
    <t xml:space="preserve"> Gain of function (GOF) =</t>
  </si>
  <si>
    <t>no effect</t>
  </si>
  <si>
    <t xml:space="preserve">      none = similar phenotype between homozygous and heterozygous states</t>
  </si>
  <si>
    <t xml:space="preserve">     Partial Rescue (pR )= I% @ +40 mV is larger than DN and smaller than    partial rescue threshold</t>
  </si>
  <si>
    <t>Supplemental Table 4, Functional properties of KCNQ2 variants  (heterozygous state)</t>
  </si>
  <si>
    <t>Numbers in highlighted cells can be changed to modify functional 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</si>
</sst>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0"/>
    <numFmt numFmtId="166" formatCode="0.000"/>
    <numFmt numFmtId="167" formatCode="0.000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name val="Calibri"/>
      <family val="2"/>
    </font>
    <font>
      <b/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FF"/>
      <name val="Calibri"/>
      <family val="2"/>
      <scheme val="minor"/>
    </font>
    <font>
      <b/>
      <sz val="10"/>
      <color rgb="FF3399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4">
    <xf numFmtId="0" fontId="0" fillId="0" borderId="0" xfId="0"/>
    <xf numFmtId="0" fontId="1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/>
    <xf numFmtId="2" fontId="1" fillId="0" borderId="0" xfId="0" applyNumberFormat="1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right" inden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/>
    <xf numFmtId="165" fontId="1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right" indent="1"/>
    </xf>
    <xf numFmtId="0" fontId="1" fillId="0" borderId="1" xfId="0" applyFont="1" applyFill="1" applyBorder="1"/>
    <xf numFmtId="164" fontId="4" fillId="0" borderId="1" xfId="0" applyNumberFormat="1" applyFont="1" applyFill="1" applyBorder="1" applyAlignment="1"/>
    <xf numFmtId="0" fontId="1" fillId="0" borderId="3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right" indent="1"/>
    </xf>
    <xf numFmtId="0" fontId="2" fillId="0" borderId="0" xfId="0" applyFont="1" applyFill="1" applyAlignment="1">
      <alignment horizontal="center"/>
    </xf>
    <xf numFmtId="0" fontId="3" fillId="0" borderId="0" xfId="0" applyFont="1" applyFill="1"/>
    <xf numFmtId="164" fontId="1" fillId="0" borderId="0" xfId="0" applyNumberFormat="1" applyFont="1" applyFill="1" applyBorder="1" applyAlignment="1">
      <alignment horizontal="center"/>
    </xf>
    <xf numFmtId="0" fontId="1" fillId="0" borderId="3" xfId="0" applyFont="1" applyFill="1" applyBorder="1"/>
    <xf numFmtId="0" fontId="4" fillId="0" borderId="3" xfId="0" applyFont="1" applyFill="1" applyBorder="1"/>
    <xf numFmtId="2" fontId="4" fillId="0" borderId="0" xfId="0" applyNumberFormat="1" applyFont="1" applyFill="1" applyBorder="1" applyAlignment="1"/>
    <xf numFmtId="1" fontId="4" fillId="0" borderId="0" xfId="0" applyNumberFormat="1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1" fontId="4" fillId="0" borderId="0" xfId="0" applyNumberFormat="1" applyFont="1" applyFill="1" applyBorder="1" applyAlignment="1" applyProtection="1">
      <alignment horizontal="center"/>
      <protection locked="0"/>
    </xf>
    <xf numFmtId="165" fontId="4" fillId="0" borderId="2" xfId="0" applyNumberFormat="1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1" fontId="4" fillId="0" borderId="3" xfId="0" applyNumberFormat="1" applyFont="1" applyFill="1" applyBorder="1" applyAlignment="1">
      <alignment horizontal="center"/>
    </xf>
    <xf numFmtId="165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/>
    <xf numFmtId="1" fontId="1" fillId="0" borderId="0" xfId="0" applyNumberFormat="1" applyFont="1" applyFill="1" applyBorder="1" applyAlignment="1">
      <alignment horizontal="right" indent="2"/>
    </xf>
    <xf numFmtId="166" fontId="1" fillId="0" borderId="0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right" indent="1"/>
    </xf>
    <xf numFmtId="0" fontId="1" fillId="0" borderId="0" xfId="0" applyFont="1" applyFill="1" applyAlignment="1">
      <alignment horizontal="right" indent="1"/>
    </xf>
    <xf numFmtId="0" fontId="3" fillId="0" borderId="1" xfId="0" applyFont="1" applyFill="1" applyBorder="1" applyAlignment="1">
      <alignment horizontal="right" indent="1"/>
    </xf>
    <xf numFmtId="2" fontId="3" fillId="0" borderId="2" xfId="0" applyNumberFormat="1" applyFont="1" applyFill="1" applyBorder="1" applyAlignment="1">
      <alignment horizontal="right" indent="1"/>
    </xf>
    <xf numFmtId="0" fontId="3" fillId="0" borderId="3" xfId="0" applyFont="1" applyFill="1" applyBorder="1" applyAlignment="1">
      <alignment horizontal="right" indent="1"/>
    </xf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right" indent="2"/>
    </xf>
    <xf numFmtId="0" fontId="3" fillId="0" borderId="0" xfId="0" applyFont="1" applyFill="1" applyAlignment="1">
      <alignment horizontal="left" indent="2"/>
    </xf>
    <xf numFmtId="164" fontId="3" fillId="0" borderId="0" xfId="0" applyNumberFormat="1" applyFont="1" applyFill="1" applyBorder="1" applyAlignment="1">
      <alignment horizontal="right" indent="1"/>
    </xf>
    <xf numFmtId="166" fontId="3" fillId="0" borderId="0" xfId="0" applyNumberFormat="1" applyFont="1" applyFill="1" applyBorder="1" applyAlignment="1">
      <alignment horizontal="right" indent="1"/>
    </xf>
    <xf numFmtId="164" fontId="3" fillId="0" borderId="0" xfId="0" applyNumberFormat="1" applyFont="1" applyFill="1" applyAlignment="1">
      <alignment horizontal="right" indent="1"/>
    </xf>
    <xf numFmtId="166" fontId="3" fillId="0" borderId="0" xfId="0" applyNumberFormat="1" applyFont="1" applyFill="1" applyAlignment="1">
      <alignment horizontal="right" indent="1"/>
    </xf>
    <xf numFmtId="2" fontId="3" fillId="0" borderId="0" xfId="0" applyNumberFormat="1" applyFont="1" applyFill="1" applyAlignment="1">
      <alignment horizontal="right" indent="1"/>
    </xf>
    <xf numFmtId="0" fontId="3" fillId="0" borderId="0" xfId="0" applyFont="1" applyFill="1" applyAlignment="1">
      <alignment horizontal="right" indent="1"/>
    </xf>
    <xf numFmtId="0" fontId="3" fillId="0" borderId="2" xfId="0" applyFont="1" applyFill="1" applyBorder="1" applyAlignment="1">
      <alignment horizontal="right" indent="1"/>
    </xf>
    <xf numFmtId="166" fontId="1" fillId="0" borderId="0" xfId="0" applyNumberFormat="1" applyFont="1" applyFill="1" applyBorder="1" applyAlignment="1">
      <alignment horizontal="right" indent="1"/>
    </xf>
    <xf numFmtId="166" fontId="1" fillId="0" borderId="0" xfId="0" applyNumberFormat="1" applyFont="1" applyFill="1" applyAlignment="1">
      <alignment horizontal="right" indent="1"/>
    </xf>
    <xf numFmtId="0" fontId="0" fillId="0" borderId="0" xfId="0" applyFill="1"/>
    <xf numFmtId="0" fontId="1" fillId="0" borderId="0" xfId="0" applyFont="1" applyFill="1" applyAlignment="1">
      <alignment horizontal="left" indent="2"/>
    </xf>
    <xf numFmtId="0" fontId="0" fillId="0" borderId="0" xfId="0" applyAlignment="1">
      <alignment horizontal="right" indent="1"/>
    </xf>
    <xf numFmtId="167" fontId="3" fillId="0" borderId="0" xfId="0" applyNumberFormat="1" applyFont="1" applyFill="1" applyAlignment="1">
      <alignment horizontal="right" indent="1"/>
    </xf>
    <xf numFmtId="167" fontId="3" fillId="0" borderId="0" xfId="0" applyNumberFormat="1" applyFont="1" applyFill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/>
    <xf numFmtId="1" fontId="2" fillId="0" borderId="0" xfId="0" applyNumberFormat="1" applyFont="1" applyFill="1" applyBorder="1"/>
    <xf numFmtId="165" fontId="2" fillId="0" borderId="0" xfId="0" applyNumberFormat="1" applyFont="1" applyFill="1" applyBorder="1" applyAlignment="1">
      <alignment horizontal="right" indent="1"/>
    </xf>
    <xf numFmtId="165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/>
    <xf numFmtId="164" fontId="3" fillId="0" borderId="0" xfId="0" applyNumberFormat="1" applyFont="1" applyFill="1" applyBorder="1"/>
    <xf numFmtId="0" fontId="3" fillId="0" borderId="0" xfId="0" applyFont="1" applyFill="1" applyBorder="1"/>
    <xf numFmtId="165" fontId="3" fillId="0" borderId="0" xfId="0" applyNumberFormat="1" applyFont="1" applyFill="1" applyBorder="1" applyAlignment="1">
      <alignment horizontal="right" indent="1"/>
    </xf>
    <xf numFmtId="2" fontId="2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1" xfId="0" applyFont="1" applyFill="1" applyBorder="1" applyAlignment="1">
      <alignment wrapText="1"/>
    </xf>
    <xf numFmtId="0" fontId="8" fillId="0" borderId="0" xfId="0" applyFont="1" applyFill="1" applyAlignment="1">
      <alignment horizontal="right" indent="1"/>
    </xf>
    <xf numFmtId="166" fontId="8" fillId="0" borderId="0" xfId="0" applyNumberFormat="1" applyFont="1" applyFill="1" applyAlignment="1">
      <alignment horizontal="right" indent="1"/>
    </xf>
    <xf numFmtId="166" fontId="8" fillId="0" borderId="0" xfId="0" applyNumberFormat="1" applyFont="1" applyFill="1" applyBorder="1" applyAlignment="1">
      <alignment horizontal="right" indent="1"/>
    </xf>
    <xf numFmtId="0" fontId="8" fillId="0" borderId="0" xfId="0" applyFont="1" applyFill="1" applyBorder="1" applyAlignment="1">
      <alignment horizontal="right" indent="1"/>
    </xf>
    <xf numFmtId="0" fontId="3" fillId="0" borderId="0" xfId="0" applyFont="1" applyFill="1" applyAlignment="1">
      <alignment horizontal="right" indent="2"/>
    </xf>
    <xf numFmtId="0" fontId="2" fillId="0" borderId="0" xfId="0" applyFont="1" applyFill="1" applyBorder="1" applyAlignment="1">
      <alignment horizontal="left"/>
    </xf>
    <xf numFmtId="2" fontId="4" fillId="0" borderId="2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2" xfId="0" applyFont="1" applyFill="1" applyBorder="1"/>
    <xf numFmtId="1" fontId="1" fillId="0" borderId="0" xfId="0" applyNumberFormat="1" applyFont="1" applyFill="1" applyBorder="1" applyAlignment="1" applyProtection="1">
      <alignment horizontal="center"/>
      <protection locked="0"/>
    </xf>
    <xf numFmtId="2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right" indent="1"/>
    </xf>
    <xf numFmtId="165" fontId="2" fillId="0" borderId="0" xfId="0" applyNumberFormat="1" applyFont="1" applyFill="1" applyBorder="1" applyAlignment="1">
      <alignment horizontal="center"/>
    </xf>
    <xf numFmtId="0" fontId="2" fillId="0" borderId="3" xfId="0" applyFont="1" applyFill="1" applyBorder="1"/>
    <xf numFmtId="2" fontId="2" fillId="0" borderId="0" xfId="0" applyNumberFormat="1" applyFont="1" applyFill="1" applyBorder="1" applyAlignment="1"/>
    <xf numFmtId="2" fontId="2" fillId="0" borderId="1" xfId="0" applyNumberFormat="1" applyFont="1" applyFill="1" applyBorder="1" applyAlignment="1"/>
    <xf numFmtId="1" fontId="2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right" indent="2"/>
    </xf>
    <xf numFmtId="0" fontId="0" fillId="0" borderId="3" xfId="0" applyBorder="1"/>
    <xf numFmtId="0" fontId="0" fillId="0" borderId="3" xfId="0" applyFill="1" applyBorder="1"/>
    <xf numFmtId="2" fontId="2" fillId="0" borderId="0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" fontId="1" fillId="0" borderId="0" xfId="0" applyNumberFormat="1" applyFont="1" applyFill="1" applyBorder="1" applyAlignment="1" applyProtection="1">
      <alignment horizontal="right" indent="2"/>
      <protection locked="0"/>
    </xf>
    <xf numFmtId="1" fontId="3" fillId="0" borderId="0" xfId="0" applyNumberFormat="1" applyFont="1" applyFill="1" applyAlignment="1">
      <alignment horizontal="right" indent="2"/>
    </xf>
    <xf numFmtId="1" fontId="3" fillId="0" borderId="0" xfId="0" applyNumberFormat="1" applyFont="1" applyFill="1" applyBorder="1" applyAlignment="1">
      <alignment horizontal="right" indent="2"/>
    </xf>
    <xf numFmtId="0" fontId="3" fillId="0" borderId="0" xfId="0" applyFont="1" applyFill="1" applyBorder="1" applyAlignment="1">
      <alignment horizontal="right" indent="2"/>
    </xf>
    <xf numFmtId="0" fontId="0" fillId="0" borderId="0" xfId="0" applyFill="1" applyAlignment="1">
      <alignment horizontal="right" indent="2"/>
    </xf>
    <xf numFmtId="0" fontId="3" fillId="0" borderId="1" xfId="0" applyFont="1" applyFill="1" applyBorder="1" applyAlignment="1">
      <alignment horizontal="right" indent="2"/>
    </xf>
    <xf numFmtId="0" fontId="1" fillId="0" borderId="1" xfId="0" applyFont="1" applyFill="1" applyBorder="1" applyAlignment="1">
      <alignment horizontal="right" indent="2"/>
    </xf>
    <xf numFmtId="0" fontId="0" fillId="0" borderId="0" xfId="0" applyAlignment="1">
      <alignment horizontal="right" indent="2"/>
    </xf>
    <xf numFmtId="0" fontId="0" fillId="0" borderId="1" xfId="0" applyBorder="1" applyAlignment="1">
      <alignment horizontal="right" indent="2"/>
    </xf>
    <xf numFmtId="1" fontId="3" fillId="0" borderId="1" xfId="0" applyNumberFormat="1" applyFont="1" applyFill="1" applyBorder="1" applyAlignment="1">
      <alignment horizontal="right" indent="2"/>
    </xf>
    <xf numFmtId="2" fontId="2" fillId="0" borderId="0" xfId="0" quotePrefix="1" applyNumberFormat="1" applyFont="1" applyFill="1" applyBorder="1" applyAlignment="1"/>
    <xf numFmtId="2" fontId="2" fillId="0" borderId="2" xfId="0" quotePrefix="1" applyNumberFormat="1" applyFont="1" applyFill="1" applyBorder="1" applyAlignment="1"/>
    <xf numFmtId="2" fontId="2" fillId="0" borderId="1" xfId="0" quotePrefix="1" applyNumberFormat="1" applyFont="1" applyFill="1" applyBorder="1" applyAlignment="1"/>
    <xf numFmtId="164" fontId="2" fillId="0" borderId="0" xfId="0" quotePrefix="1" applyNumberFormat="1" applyFont="1" applyFill="1" applyBorder="1" applyAlignment="1"/>
    <xf numFmtId="0" fontId="4" fillId="0" borderId="0" xfId="0" applyFont="1" applyFill="1" applyBorder="1" applyAlignment="1">
      <alignment horizontal="center"/>
    </xf>
    <xf numFmtId="2" fontId="3" fillId="0" borderId="0" xfId="0" applyNumberFormat="1" applyFont="1" applyFill="1" applyBorder="1"/>
    <xf numFmtId="0" fontId="3" fillId="0" borderId="3" xfId="0" applyFont="1" applyFill="1" applyBorder="1" applyAlignment="1">
      <alignment horizontal="left" indent="2"/>
    </xf>
    <xf numFmtId="0" fontId="1" fillId="0" borderId="3" xfId="0" applyFont="1" applyFill="1" applyBorder="1" applyAlignment="1">
      <alignment horizontal="left" indent="2"/>
    </xf>
    <xf numFmtId="0" fontId="4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right" indent="1"/>
    </xf>
    <xf numFmtId="1" fontId="3" fillId="0" borderId="0" xfId="0" applyNumberFormat="1" applyFont="1" applyFill="1" applyAlignment="1">
      <alignment horizontal="right" indent="1"/>
    </xf>
    <xf numFmtId="9" fontId="3" fillId="0" borderId="0" xfId="0" applyNumberFormat="1" applyFont="1" applyFill="1" applyBorder="1" applyAlignment="1">
      <alignment horizontal="right" indent="1"/>
    </xf>
    <xf numFmtId="9" fontId="3" fillId="0" borderId="3" xfId="0" applyNumberFormat="1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right" indent="1"/>
    </xf>
    <xf numFmtId="2" fontId="3" fillId="0" borderId="2" xfId="0" applyNumberFormat="1" applyFont="1" applyBorder="1" applyAlignment="1">
      <alignment horizontal="right" indent="1"/>
    </xf>
    <xf numFmtId="166" fontId="3" fillId="0" borderId="0" xfId="0" applyNumberFormat="1" applyFont="1" applyAlignment="1">
      <alignment horizontal="right" indent="1"/>
    </xf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4" fillId="0" borderId="2" xfId="0" applyFont="1" applyBorder="1" applyAlignment="1">
      <alignment vertical="center"/>
    </xf>
    <xf numFmtId="0" fontId="1" fillId="0" borderId="1" xfId="0" applyFont="1" applyBorder="1"/>
    <xf numFmtId="164" fontId="4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2" xfId="0" quotePrefix="1" applyNumberFormat="1" applyFont="1" applyBorder="1"/>
    <xf numFmtId="0" fontId="4" fillId="0" borderId="1" xfId="0" applyFont="1" applyBorder="1" applyAlignment="1">
      <alignment horizontal="center"/>
    </xf>
    <xf numFmtId="0" fontId="1" fillId="0" borderId="2" xfId="0" applyFont="1" applyBorder="1"/>
    <xf numFmtId="166" fontId="1" fillId="0" borderId="0" xfId="0" applyNumberFormat="1" applyFont="1" applyAlignment="1">
      <alignment horizontal="right" indent="1"/>
    </xf>
    <xf numFmtId="0" fontId="3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1" fillId="0" borderId="2" xfId="0" applyNumberFormat="1" applyFont="1" applyBorder="1" applyAlignment="1">
      <alignment horizontal="right" indent="1"/>
    </xf>
    <xf numFmtId="0" fontId="1" fillId="0" borderId="2" xfId="0" applyFont="1" applyBorder="1" applyAlignment="1">
      <alignment horizontal="right" indent="1"/>
    </xf>
    <xf numFmtId="0" fontId="3" fillId="0" borderId="1" xfId="0" applyFont="1" applyBorder="1" applyAlignment="1">
      <alignment horizontal="center"/>
    </xf>
    <xf numFmtId="164" fontId="3" fillId="0" borderId="2" xfId="0" applyNumberFormat="1" applyFont="1" applyBorder="1" applyAlignment="1">
      <alignment horizontal="right" indent="1"/>
    </xf>
    <xf numFmtId="1" fontId="3" fillId="0" borderId="1" xfId="0" applyNumberFormat="1" applyFont="1" applyBorder="1" applyAlignment="1">
      <alignment horizontal="right" indent="2"/>
    </xf>
    <xf numFmtId="1" fontId="3" fillId="0" borderId="0" xfId="0" applyNumberFormat="1" applyFont="1" applyAlignment="1">
      <alignment horizontal="right" indent="1"/>
    </xf>
    <xf numFmtId="0" fontId="3" fillId="0" borderId="1" xfId="0" applyFont="1" applyBorder="1" applyAlignment="1">
      <alignment horizontal="right" indent="2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/>
    <xf numFmtId="164" fontId="3" fillId="0" borderId="0" xfId="0" applyNumberFormat="1" applyFont="1"/>
    <xf numFmtId="2" fontId="2" fillId="0" borderId="0" xfId="0" applyNumberFormat="1" applyFont="1" applyAlignment="1">
      <alignment horizontal="center"/>
    </xf>
    <xf numFmtId="1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166" fontId="1" fillId="0" borderId="0" xfId="0" applyNumberFormat="1" applyFont="1" applyBorder="1" applyAlignment="1">
      <alignment horizontal="right" indent="1"/>
    </xf>
    <xf numFmtId="0" fontId="1" fillId="0" borderId="0" xfId="0" applyFont="1" applyBorder="1"/>
    <xf numFmtId="164" fontId="1" fillId="0" borderId="2" xfId="0" applyNumberFormat="1" applyFont="1" applyBorder="1"/>
    <xf numFmtId="164" fontId="1" fillId="0" borderId="0" xfId="0" applyNumberFormat="1" applyFont="1" applyBorder="1"/>
    <xf numFmtId="0" fontId="4" fillId="0" borderId="0" xfId="0" quotePrefix="1" applyFont="1" applyBorder="1" applyAlignment="1">
      <alignment horizontal="center"/>
    </xf>
    <xf numFmtId="164" fontId="2" fillId="0" borderId="0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right" indent="1"/>
    </xf>
    <xf numFmtId="0" fontId="1" fillId="0" borderId="0" xfId="0" applyFont="1" applyBorder="1" applyAlignment="1">
      <alignment horizontal="right" indent="1"/>
    </xf>
    <xf numFmtId="0" fontId="4" fillId="0" borderId="0" xfId="0" applyFont="1" applyBorder="1" applyAlignment="1">
      <alignment vertical="center"/>
    </xf>
    <xf numFmtId="9" fontId="2" fillId="0" borderId="0" xfId="0" quotePrefix="1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164" fontId="15" fillId="0" borderId="1" xfId="0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9" fontId="2" fillId="0" borderId="0" xfId="0" quotePrefix="1" applyNumberFormat="1" applyFont="1" applyBorder="1"/>
    <xf numFmtId="0" fontId="2" fillId="0" borderId="0" xfId="0" applyFont="1" applyBorder="1" applyAlignment="1">
      <alignment vertical="center"/>
    </xf>
    <xf numFmtId="164" fontId="4" fillId="0" borderId="0" xfId="0" applyNumberFormat="1" applyFont="1" applyBorder="1"/>
    <xf numFmtId="0" fontId="4" fillId="0" borderId="0" xfId="0" applyFont="1" applyBorder="1"/>
    <xf numFmtId="164" fontId="4" fillId="0" borderId="0" xfId="0" quotePrefix="1" applyNumberFormat="1" applyFont="1" applyBorder="1"/>
    <xf numFmtId="164" fontId="4" fillId="0" borderId="1" xfId="0" quotePrefix="1" applyNumberFormat="1" applyFont="1" applyBorder="1"/>
    <xf numFmtId="1" fontId="2" fillId="0" borderId="1" xfId="0" applyNumberFormat="1" applyFont="1" applyBorder="1" applyAlignment="1">
      <alignment horizontal="center"/>
    </xf>
    <xf numFmtId="9" fontId="4" fillId="0" borderId="0" xfId="0" applyNumberFormat="1" applyFont="1" applyBorder="1" applyAlignment="1">
      <alignment horizontal="right" indent="1"/>
    </xf>
    <xf numFmtId="9" fontId="4" fillId="0" borderId="0" xfId="0" applyNumberFormat="1" applyFont="1" applyBorder="1" applyAlignment="1">
      <alignment horizontal="center"/>
    </xf>
    <xf numFmtId="166" fontId="4" fillId="0" borderId="0" xfId="0" applyNumberFormat="1" applyFont="1" applyBorder="1" applyAlignment="1">
      <alignment horizontal="right" indent="1"/>
    </xf>
    <xf numFmtId="164" fontId="3" fillId="0" borderId="0" xfId="0" applyNumberFormat="1" applyFont="1" applyBorder="1" applyAlignment="1">
      <alignment horizontal="right" indent="1"/>
    </xf>
    <xf numFmtId="0" fontId="3" fillId="0" borderId="0" xfId="0" applyFont="1" applyBorder="1" applyAlignment="1">
      <alignment horizontal="right" indent="1"/>
    </xf>
    <xf numFmtId="166" fontId="3" fillId="0" borderId="0" xfId="0" applyNumberFormat="1" applyFont="1" applyBorder="1" applyAlignment="1">
      <alignment horizontal="right" indent="1"/>
    </xf>
    <xf numFmtId="9" fontId="2" fillId="0" borderId="1" xfId="0" quotePrefix="1" applyNumberFormat="1" applyFont="1" applyBorder="1" applyAlignment="1">
      <alignment wrapText="1"/>
    </xf>
    <xf numFmtId="9" fontId="2" fillId="0" borderId="1" xfId="0" quotePrefix="1" applyNumberFormat="1" applyFont="1" applyBorder="1" applyAlignment="1">
      <alignment horizontal="right"/>
    </xf>
    <xf numFmtId="164" fontId="2" fillId="0" borderId="2" xfId="0" quotePrefix="1" applyNumberFormat="1" applyFont="1" applyBorder="1" applyAlignment="1">
      <alignment horizontal="left"/>
    </xf>
    <xf numFmtId="164" fontId="2" fillId="0" borderId="0" xfId="0" quotePrefix="1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9" fontId="2" fillId="0" borderId="0" xfId="0" quotePrefix="1" applyNumberFormat="1" applyFont="1" applyFill="1" applyBorder="1" applyAlignment="1">
      <alignment horizontal="right" indent="1"/>
    </xf>
    <xf numFmtId="9" fontId="4" fillId="0" borderId="0" xfId="0" applyNumberFormat="1" applyFont="1" applyFill="1" applyBorder="1" applyAlignment="1">
      <alignment horizontal="right" indent="1"/>
    </xf>
    <xf numFmtId="164" fontId="3" fillId="0" borderId="0" xfId="0" applyNumberFormat="1" applyFont="1" applyFill="1" applyBorder="1" applyAlignment="1" applyProtection="1">
      <alignment horizontal="right" indent="1"/>
      <protection locked="0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/>
    </xf>
    <xf numFmtId="0" fontId="3" fillId="0" borderId="2" xfId="0" applyFont="1" applyFill="1" applyBorder="1"/>
    <xf numFmtId="164" fontId="3" fillId="0" borderId="0" xfId="0" applyNumberFormat="1" applyFont="1" applyFill="1"/>
    <xf numFmtId="1" fontId="3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2" fillId="0" borderId="2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/>
    <xf numFmtId="0" fontId="3" fillId="0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2" fillId="0" borderId="0" xfId="0" applyFont="1" applyFill="1" applyBorder="1"/>
    <xf numFmtId="0" fontId="4" fillId="0" borderId="0" xfId="0" applyFont="1" applyBorder="1" applyAlignment="1">
      <alignment vertical="center" wrapText="1"/>
    </xf>
    <xf numFmtId="1" fontId="2" fillId="0" borderId="1" xfId="0" applyNumberFormat="1" applyFont="1" applyFill="1" applyBorder="1" applyAlignment="1">
      <alignment horizontal="center"/>
    </xf>
    <xf numFmtId="2" fontId="11" fillId="0" borderId="5" xfId="0" applyNumberFormat="1" applyFont="1" applyFill="1" applyBorder="1" applyAlignment="1">
      <alignment vertical="center"/>
    </xf>
    <xf numFmtId="2" fontId="11" fillId="0" borderId="4" xfId="0" applyNumberFormat="1" applyFont="1" applyFill="1" applyBorder="1" applyAlignment="1">
      <alignment vertical="center"/>
    </xf>
    <xf numFmtId="2" fontId="11" fillId="0" borderId="0" xfId="0" applyNumberFormat="1" applyFont="1" applyFill="1" applyBorder="1" applyAlignment="1">
      <alignment vertical="center"/>
    </xf>
    <xf numFmtId="2" fontId="11" fillId="0" borderId="1" xfId="0" applyNumberFormat="1" applyFont="1" applyFill="1" applyBorder="1" applyAlignment="1">
      <alignment vertical="center"/>
    </xf>
    <xf numFmtId="0" fontId="12" fillId="0" borderId="5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164" fontId="4" fillId="0" borderId="3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164" fontId="1" fillId="0" borderId="6" xfId="0" applyNumberFormat="1" applyFont="1" applyBorder="1"/>
    <xf numFmtId="164" fontId="1" fillId="0" borderId="5" xfId="0" applyNumberFormat="1" applyFont="1" applyBorder="1"/>
    <xf numFmtId="164" fontId="15" fillId="0" borderId="4" xfId="0" applyNumberFormat="1" applyFont="1" applyBorder="1" applyAlignment="1">
      <alignment vertical="center"/>
    </xf>
    <xf numFmtId="0" fontId="1" fillId="0" borderId="6" xfId="0" applyFont="1" applyBorder="1"/>
    <xf numFmtId="0" fontId="15" fillId="0" borderId="5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Alignment="1">
      <alignment horizontal="left" vertical="center"/>
    </xf>
    <xf numFmtId="2" fontId="2" fillId="0" borderId="2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justify" vertical="top" wrapText="1"/>
    </xf>
    <xf numFmtId="0" fontId="4" fillId="0" borderId="0" xfId="0" applyFont="1" applyBorder="1" applyAlignment="1">
      <alignment horizontal="justify" wrapText="1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2" fontId="4" fillId="0" borderId="2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4" fontId="4" fillId="0" borderId="2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164" fontId="15" fillId="0" borderId="5" xfId="0" applyNumberFormat="1" applyFont="1" applyBorder="1" applyAlignment="1">
      <alignment horizontal="center" vertical="center"/>
    </xf>
    <xf numFmtId="164" fontId="15" fillId="0" borderId="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0" borderId="2" xfId="0" quotePrefix="1" applyNumberFormat="1" applyFont="1" applyBorder="1" applyAlignment="1">
      <alignment horizontal="left" wrapText="1"/>
    </xf>
    <xf numFmtId="164" fontId="2" fillId="0" borderId="0" xfId="0" quotePrefix="1" applyNumberFormat="1" applyFont="1" applyBorder="1" applyAlignment="1">
      <alignment horizontal="left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2" borderId="8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top"/>
    </xf>
    <xf numFmtId="9" fontId="2" fillId="2" borderId="7" xfId="0" quotePrefix="1" applyNumberFormat="1" applyFont="1" applyFill="1" applyBorder="1" applyAlignment="1">
      <alignment horizontal="right" indent="1"/>
    </xf>
    <xf numFmtId="9" fontId="4" fillId="2" borderId="7" xfId="0" applyNumberFormat="1" applyFont="1" applyFill="1" applyBorder="1" applyAlignment="1">
      <alignment horizontal="right" indent="1"/>
    </xf>
    <xf numFmtId="9" fontId="2" fillId="2" borderId="7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00FF"/>
      <color rgb="FF00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0"/>
  <sheetViews>
    <sheetView zoomScale="80" zoomScaleNormal="80" workbookViewId="0">
      <pane xSplit="7" ySplit="16" topLeftCell="H17" activePane="bottomRight" state="frozen"/>
      <selection pane="topRight" activeCell="M1" sqref="M1"/>
      <selection pane="bottomLeft" activeCell="A12" sqref="A12"/>
      <selection pane="bottomRight" activeCell="F21" sqref="F21"/>
    </sheetView>
  </sheetViews>
  <sheetFormatPr defaultRowHeight="12.75" x14ac:dyDescent="0.2"/>
  <cols>
    <col min="1" max="3" width="9.140625" style="50"/>
    <col min="4" max="6" width="13.7109375" style="50" customWidth="1"/>
    <col min="7" max="7" width="11.7109375" style="50" customWidth="1"/>
    <col min="8" max="8" width="10.7109375" style="5" customWidth="1"/>
    <col min="9" max="11" width="8.7109375" style="6" customWidth="1"/>
    <col min="12" max="12" width="7.7109375" style="6" customWidth="1"/>
    <col min="13" max="13" width="9.140625" style="7"/>
    <col min="14" max="14" width="8.7109375" style="9" customWidth="1"/>
    <col min="15" max="21" width="9.140625" style="17"/>
    <col min="22" max="22" width="5.7109375" style="17" customWidth="1"/>
    <col min="23" max="23" width="9.140625" style="5"/>
    <col min="24" max="24" width="8.7109375" style="5" customWidth="1"/>
    <col min="25" max="27" width="9.140625" style="8"/>
    <col min="28" max="28" width="5.7109375" style="8" customWidth="1"/>
    <col min="29" max="29" width="9.140625" style="5"/>
    <col min="30" max="30" width="10.7109375" style="5" customWidth="1"/>
    <col min="31" max="16384" width="9.140625" style="9"/>
  </cols>
  <sheetData>
    <row r="1" spans="1:30" x14ac:dyDescent="0.2">
      <c r="A1" s="260" t="s">
        <v>179</v>
      </c>
      <c r="B1" s="260"/>
      <c r="C1" s="260"/>
      <c r="D1" s="260"/>
      <c r="E1" s="260"/>
      <c r="F1" s="260"/>
      <c r="G1" s="260"/>
    </row>
    <row r="3" spans="1:30" ht="13.5" thickBot="1" x14ac:dyDescent="0.25"/>
    <row r="4" spans="1:30" s="1" customFormat="1" ht="15" customHeight="1" x14ac:dyDescent="0.2">
      <c r="A4" s="229" t="s">
        <v>124</v>
      </c>
      <c r="B4" s="230"/>
      <c r="C4" s="230"/>
      <c r="D4" s="230"/>
      <c r="E4" s="230"/>
      <c r="F4" s="230"/>
      <c r="G4" s="231"/>
      <c r="H4" s="232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1"/>
      <c r="AD4" s="5"/>
    </row>
    <row r="5" spans="1:30" s="1" customFormat="1" ht="15" customHeight="1" x14ac:dyDescent="0.2">
      <c r="A5" s="233"/>
      <c r="B5" s="50"/>
      <c r="C5" s="50"/>
      <c r="D5" s="50"/>
      <c r="E5" s="50"/>
      <c r="F5" s="50"/>
      <c r="G5" s="3"/>
      <c r="H5" s="4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3"/>
      <c r="AD5" s="5"/>
    </row>
    <row r="6" spans="1:30" s="1" customFormat="1" ht="15" customHeight="1" x14ac:dyDescent="0.2">
      <c r="A6" s="263" t="s">
        <v>123</v>
      </c>
      <c r="B6" s="263"/>
      <c r="C6" s="263"/>
      <c r="D6" s="263"/>
      <c r="E6" s="263"/>
      <c r="F6" s="263"/>
      <c r="G6" s="13"/>
      <c r="H6" s="4"/>
      <c r="I6" s="9"/>
      <c r="J6" s="16"/>
      <c r="K6" s="16"/>
      <c r="L6" s="16"/>
      <c r="M6" s="16"/>
      <c r="N6" s="244"/>
      <c r="O6" s="17"/>
      <c r="P6" s="18"/>
      <c r="Q6" s="18"/>
      <c r="R6" s="17"/>
      <c r="S6" s="17"/>
      <c r="T6" s="17"/>
      <c r="U6" s="17"/>
      <c r="V6" s="17"/>
      <c r="W6" s="5"/>
      <c r="X6" s="23"/>
      <c r="Y6" s="8"/>
      <c r="Z6" s="8"/>
      <c r="AA6" s="8"/>
      <c r="AB6" s="8"/>
      <c r="AC6" s="4"/>
      <c r="AD6" s="127"/>
    </row>
    <row r="7" spans="1:30" s="1" customFormat="1" ht="15" customHeight="1" x14ac:dyDescent="0.2">
      <c r="A7" s="263"/>
      <c r="B7" s="263"/>
      <c r="C7" s="263"/>
      <c r="D7" s="263"/>
      <c r="E7" s="263"/>
      <c r="F7" s="263"/>
      <c r="G7" s="82"/>
      <c r="H7" s="4"/>
      <c r="I7" s="265" t="s">
        <v>138</v>
      </c>
      <c r="J7" s="266"/>
      <c r="K7" s="266"/>
      <c r="L7" s="266"/>
      <c r="M7" s="267"/>
      <c r="N7" s="21"/>
      <c r="O7" s="265" t="s">
        <v>0</v>
      </c>
      <c r="P7" s="266"/>
      <c r="Q7" s="266"/>
      <c r="R7" s="266"/>
      <c r="S7" s="266"/>
      <c r="T7" s="266"/>
      <c r="U7" s="266"/>
      <c r="V7" s="266"/>
      <c r="W7" s="267"/>
      <c r="X7" s="221"/>
      <c r="Y7" s="268" t="s">
        <v>126</v>
      </c>
      <c r="Z7" s="269"/>
      <c r="AA7" s="269"/>
      <c r="AB7" s="269"/>
      <c r="AC7" s="270"/>
      <c r="AD7" s="90"/>
    </row>
    <row r="8" spans="1:30" s="1" customFormat="1" ht="15" customHeight="1" x14ac:dyDescent="0.2">
      <c r="A8" s="263"/>
      <c r="B8" s="263"/>
      <c r="C8" s="263"/>
      <c r="D8" s="263"/>
      <c r="E8" s="263"/>
      <c r="F8" s="263"/>
      <c r="G8" s="13"/>
      <c r="H8" s="222"/>
      <c r="I8" s="271" t="s">
        <v>134</v>
      </c>
      <c r="J8" s="271"/>
      <c r="K8" s="271"/>
      <c r="L8" s="271"/>
      <c r="M8" s="272"/>
      <c r="N8" s="28"/>
      <c r="O8" s="221"/>
      <c r="P8" s="221"/>
      <c r="Q8" s="221"/>
      <c r="R8" s="221"/>
      <c r="S8" s="221"/>
      <c r="T8" s="221"/>
      <c r="U8" s="221"/>
      <c r="V8" s="221"/>
      <c r="W8" s="222"/>
      <c r="X8" s="221"/>
      <c r="Y8" s="93"/>
      <c r="Z8" s="224"/>
      <c r="AA8" s="224"/>
      <c r="AB8" s="224"/>
      <c r="AC8" s="225"/>
      <c r="AD8" s="89"/>
    </row>
    <row r="9" spans="1:30" s="1" customFormat="1" ht="15" customHeight="1" x14ac:dyDescent="0.2">
      <c r="A9" s="264" t="s">
        <v>140</v>
      </c>
      <c r="B9" s="264"/>
      <c r="C9" s="264"/>
      <c r="D9" s="264"/>
      <c r="E9" s="264"/>
      <c r="F9" s="234"/>
      <c r="G9" s="13"/>
      <c r="H9" s="4"/>
      <c r="I9" s="121"/>
      <c r="J9" s="121"/>
      <c r="K9" s="121"/>
      <c r="L9" s="75"/>
      <c r="M9" s="51"/>
      <c r="N9" s="98"/>
      <c r="O9" s="261" t="s">
        <v>127</v>
      </c>
      <c r="P9" s="262"/>
      <c r="Q9" s="262"/>
      <c r="R9" s="97"/>
      <c r="S9" s="262" t="s">
        <v>128</v>
      </c>
      <c r="T9" s="262"/>
      <c r="U9" s="262"/>
      <c r="V9" s="99"/>
      <c r="W9" s="100"/>
      <c r="X9" s="69"/>
      <c r="Y9" s="261" t="s">
        <v>129</v>
      </c>
      <c r="Z9" s="262"/>
      <c r="AA9" s="219"/>
      <c r="AB9" s="219"/>
      <c r="AC9" s="235"/>
      <c r="AD9" s="101"/>
    </row>
    <row r="10" spans="1:30" s="1" customFormat="1" ht="15" customHeight="1" x14ac:dyDescent="0.2">
      <c r="A10" s="264"/>
      <c r="B10" s="264"/>
      <c r="C10" s="264"/>
      <c r="D10" s="264"/>
      <c r="E10" s="264"/>
      <c r="F10" s="234"/>
      <c r="G10" s="13"/>
      <c r="H10" s="4"/>
      <c r="I10" s="221" t="s">
        <v>11</v>
      </c>
      <c r="J10" s="226" t="s">
        <v>12</v>
      </c>
      <c r="K10" s="226" t="s">
        <v>130</v>
      </c>
      <c r="L10" s="9"/>
      <c r="M10" s="37" t="s">
        <v>13</v>
      </c>
      <c r="N10" s="29"/>
      <c r="O10" s="18" t="s">
        <v>11</v>
      </c>
      <c r="P10" s="18" t="s">
        <v>12</v>
      </c>
      <c r="Q10" s="226" t="s">
        <v>130</v>
      </c>
      <c r="R10" s="30"/>
      <c r="S10" s="18" t="s">
        <v>11</v>
      </c>
      <c r="T10" s="18" t="s">
        <v>12</v>
      </c>
      <c r="U10" s="226" t="s">
        <v>130</v>
      </c>
      <c r="V10" s="226"/>
      <c r="W10" s="33" t="s">
        <v>13</v>
      </c>
      <c r="X10" s="224"/>
      <c r="Y10" s="38" t="s">
        <v>11</v>
      </c>
      <c r="Z10" s="18" t="s">
        <v>12</v>
      </c>
      <c r="AA10" s="226" t="s">
        <v>130</v>
      </c>
      <c r="AB10" s="36"/>
      <c r="AC10" s="33" t="s">
        <v>13</v>
      </c>
      <c r="AD10" s="89"/>
    </row>
    <row r="11" spans="1:30" s="1" customFormat="1" ht="15" customHeight="1" x14ac:dyDescent="0.2">
      <c r="A11" s="81"/>
      <c r="B11" s="81"/>
      <c r="C11" s="81"/>
      <c r="D11" s="81"/>
      <c r="E11" s="81"/>
      <c r="F11" s="81"/>
      <c r="G11" s="13"/>
      <c r="H11" s="4"/>
      <c r="I11" s="132"/>
      <c r="J11" s="133"/>
      <c r="K11" s="133"/>
      <c r="L11" s="9"/>
      <c r="M11" s="37"/>
      <c r="N11" s="29"/>
      <c r="O11" s="18"/>
      <c r="P11" s="18"/>
      <c r="Q11" s="91"/>
      <c r="R11" s="36"/>
      <c r="S11" s="18"/>
      <c r="T11" s="18"/>
      <c r="U11" s="91"/>
      <c r="V11" s="91"/>
      <c r="W11" s="33"/>
      <c r="X11" s="31"/>
      <c r="Y11" s="38"/>
      <c r="Z11" s="18"/>
      <c r="AA11" s="91"/>
      <c r="AB11" s="39"/>
      <c r="AC11" s="31"/>
      <c r="AD11" s="32"/>
    </row>
    <row r="12" spans="1:30" s="1" customFormat="1" ht="15" customHeight="1" x14ac:dyDescent="0.2">
      <c r="A12" s="25" t="s">
        <v>5</v>
      </c>
      <c r="B12" s="25" t="s">
        <v>6</v>
      </c>
      <c r="C12" s="25" t="s">
        <v>7</v>
      </c>
      <c r="D12" s="25" t="s">
        <v>8</v>
      </c>
      <c r="E12" s="35" t="s">
        <v>4</v>
      </c>
      <c r="F12" s="15" t="s">
        <v>9</v>
      </c>
      <c r="G12" s="14" t="s">
        <v>10</v>
      </c>
      <c r="H12" s="23"/>
      <c r="N12" s="29"/>
      <c r="O12" s="41"/>
      <c r="P12" s="41"/>
      <c r="Q12" s="41"/>
      <c r="R12" s="39"/>
      <c r="X12" s="40"/>
      <c r="AD12" s="32"/>
    </row>
    <row r="13" spans="1:30" s="1" customFormat="1" ht="15" customHeight="1" x14ac:dyDescent="0.2">
      <c r="G13" s="21"/>
      <c r="H13" s="28"/>
      <c r="I13" s="42"/>
      <c r="J13" s="42"/>
      <c r="K13" s="42"/>
      <c r="L13" s="42"/>
      <c r="M13" s="94"/>
      <c r="N13" s="28"/>
      <c r="O13" s="95"/>
      <c r="P13" s="95"/>
      <c r="Q13" s="41"/>
      <c r="R13" s="43"/>
      <c r="S13" s="8"/>
      <c r="T13" s="8"/>
      <c r="U13" s="44"/>
      <c r="V13" s="41"/>
      <c r="W13" s="3"/>
      <c r="X13" s="5"/>
      <c r="Y13" s="34"/>
      <c r="Z13" s="8"/>
      <c r="AA13" s="44"/>
      <c r="AB13" s="43"/>
      <c r="AC13" s="5"/>
      <c r="AD13" s="19"/>
    </row>
    <row r="14" spans="1:30" s="1" customFormat="1" ht="15" customHeight="1" x14ac:dyDescent="0.2">
      <c r="A14" s="25"/>
      <c r="B14" s="25"/>
      <c r="C14" s="25"/>
      <c r="D14" s="88" t="s">
        <v>125</v>
      </c>
      <c r="E14" s="35"/>
      <c r="F14" s="25"/>
      <c r="G14" s="122"/>
      <c r="H14" s="28"/>
      <c r="I14" s="42">
        <v>1</v>
      </c>
      <c r="J14" s="42">
        <v>2.5187773724271365E-2</v>
      </c>
      <c r="K14" s="42"/>
      <c r="L14" s="42"/>
      <c r="M14" s="108">
        <v>1158</v>
      </c>
      <c r="N14" s="28"/>
      <c r="O14" s="95">
        <v>-1.1706543508873392E-15</v>
      </c>
      <c r="P14" s="95">
        <v>0.17351493849306007</v>
      </c>
      <c r="Q14" s="41"/>
      <c r="R14" s="43"/>
      <c r="S14" s="8">
        <v>1</v>
      </c>
      <c r="T14" s="8">
        <v>8.54927802631264E-3</v>
      </c>
      <c r="U14" s="44"/>
      <c r="V14" s="41"/>
      <c r="W14" s="113">
        <v>959</v>
      </c>
      <c r="X14" s="5"/>
      <c r="Y14" s="34">
        <v>0.99796891168410851</v>
      </c>
      <c r="Z14" s="8">
        <v>7.6662726298224286E-3</v>
      </c>
      <c r="AA14" s="44"/>
      <c r="AB14" s="43"/>
      <c r="AC14" s="53">
        <v>1045</v>
      </c>
      <c r="AD14" s="19"/>
    </row>
    <row r="15" spans="1:30" s="1" customFormat="1" x14ac:dyDescent="0.2">
      <c r="A15" s="2"/>
      <c r="B15" s="2"/>
      <c r="C15" s="2"/>
      <c r="F15" s="2"/>
      <c r="G15" s="50"/>
      <c r="H15" s="23"/>
      <c r="I15" s="42"/>
      <c r="J15" s="42"/>
      <c r="K15" s="42"/>
      <c r="L15" s="42"/>
      <c r="M15" s="108"/>
      <c r="N15" s="28"/>
      <c r="O15" s="41"/>
      <c r="P15" s="41"/>
      <c r="Q15" s="41"/>
      <c r="R15" s="53"/>
      <c r="S15" s="44"/>
      <c r="T15" s="44"/>
      <c r="U15" s="44"/>
      <c r="V15" s="41"/>
      <c r="W15" s="113"/>
      <c r="X15" s="5"/>
      <c r="Y15" s="34"/>
      <c r="Z15" s="8"/>
      <c r="AA15" s="44"/>
      <c r="AB15" s="53"/>
      <c r="AC15" s="53"/>
      <c r="AD15" s="19"/>
    </row>
    <row r="16" spans="1:30" s="1" customFormat="1" x14ac:dyDescent="0.2">
      <c r="A16" s="2"/>
      <c r="B16" s="2"/>
      <c r="C16" s="2"/>
      <c r="D16" s="2"/>
      <c r="F16" s="2"/>
      <c r="G16" s="50"/>
      <c r="H16" s="23"/>
      <c r="I16" s="57"/>
      <c r="J16" s="57"/>
      <c r="K16" s="58"/>
      <c r="L16" s="57"/>
      <c r="M16" s="109"/>
      <c r="N16" s="49"/>
      <c r="O16" s="59"/>
      <c r="P16" s="59"/>
      <c r="Q16" s="58"/>
      <c r="R16" s="58"/>
      <c r="S16" s="58"/>
      <c r="T16" s="58"/>
      <c r="U16" s="58"/>
      <c r="V16" s="58"/>
      <c r="W16" s="113"/>
      <c r="X16" s="12"/>
      <c r="Y16" s="48"/>
      <c r="Z16" s="24"/>
      <c r="AA16" s="56"/>
      <c r="AB16" s="56"/>
      <c r="AC16" s="111"/>
      <c r="AD16" s="61"/>
    </row>
    <row r="17" spans="1:30" s="1" customFormat="1" x14ac:dyDescent="0.2">
      <c r="A17" s="87">
        <v>81</v>
      </c>
      <c r="B17" s="2" t="s">
        <v>17</v>
      </c>
      <c r="C17" s="2" t="s">
        <v>18</v>
      </c>
      <c r="D17" s="54" t="s">
        <v>19</v>
      </c>
      <c r="E17" s="26" t="s">
        <v>14</v>
      </c>
      <c r="F17" s="50" t="s">
        <v>3</v>
      </c>
      <c r="G17" s="50"/>
      <c r="H17" s="124"/>
      <c r="I17" s="57">
        <v>0.68234385434975109</v>
      </c>
      <c r="J17" s="57">
        <v>8.3346195089193345E-2</v>
      </c>
      <c r="K17" s="58">
        <v>0.106</v>
      </c>
      <c r="L17" s="128"/>
      <c r="M17" s="109">
        <v>47</v>
      </c>
      <c r="N17" s="49"/>
      <c r="O17" s="24">
        <v>-4.2733500000000024</v>
      </c>
      <c r="P17" s="59">
        <v>0.76053025697667243</v>
      </c>
      <c r="Q17" s="84">
        <v>4.0000000000000001E-3</v>
      </c>
      <c r="R17" s="128"/>
      <c r="S17" s="24">
        <v>0.9921713115929538</v>
      </c>
      <c r="T17" s="24">
        <v>3.8622669976313861E-2</v>
      </c>
      <c r="U17" s="56">
        <v>0.872</v>
      </c>
      <c r="V17" s="58"/>
      <c r="W17" s="113">
        <v>42</v>
      </c>
      <c r="X17" s="130">
        <f t="shared" ref="X17:X48" si="0">(W17/M17)</f>
        <v>0.8936170212765957</v>
      </c>
      <c r="Y17" s="48">
        <v>1.1509237138112127</v>
      </c>
      <c r="Z17" s="24">
        <v>3.9984602875746782E-2</v>
      </c>
      <c r="AA17" s="56">
        <v>4.2999999999999997E-2</v>
      </c>
      <c r="AB17" s="51"/>
      <c r="AC17" s="111">
        <v>38</v>
      </c>
      <c r="AD17" s="61"/>
    </row>
    <row r="18" spans="1:30" s="1" customFormat="1" ht="12.75" customHeight="1" x14ac:dyDescent="0.2">
      <c r="A18" s="87">
        <v>104</v>
      </c>
      <c r="B18" s="2" t="s">
        <v>22</v>
      </c>
      <c r="C18" s="2" t="s">
        <v>17</v>
      </c>
      <c r="D18" s="54" t="s">
        <v>23</v>
      </c>
      <c r="E18" s="26" t="s">
        <v>21</v>
      </c>
      <c r="F18" s="50" t="s">
        <v>1</v>
      </c>
      <c r="G18" s="50"/>
      <c r="H18" s="124"/>
      <c r="I18" s="55">
        <v>0.83206557011278237</v>
      </c>
      <c r="J18" s="55">
        <v>0.12008201991196478</v>
      </c>
      <c r="K18" s="62">
        <v>0.16700000000000001</v>
      </c>
      <c r="L18" s="128"/>
      <c r="M18" s="110">
        <v>27</v>
      </c>
      <c r="N18" s="49"/>
      <c r="O18" s="59">
        <v>-2.7208789473684205</v>
      </c>
      <c r="P18" s="59">
        <v>0.56563672676609911</v>
      </c>
      <c r="Q18" s="58">
        <v>2.1000000000000001E-2</v>
      </c>
      <c r="R18" s="128"/>
      <c r="S18" s="24">
        <v>0.95908982065800286</v>
      </c>
      <c r="T18" s="24">
        <v>3.1893945734179141E-2</v>
      </c>
      <c r="U18" s="56">
        <v>0.11600000000000001</v>
      </c>
      <c r="V18" s="58"/>
      <c r="W18" s="113">
        <v>25</v>
      </c>
      <c r="X18" s="130">
        <f t="shared" si="0"/>
        <v>0.92592592592592593</v>
      </c>
      <c r="Y18" s="48">
        <v>0.98520963783563775</v>
      </c>
      <c r="Z18" s="24">
        <v>4.565650205295492E-2</v>
      </c>
      <c r="AA18" s="62">
        <v>0.38</v>
      </c>
      <c r="AB18" s="51"/>
      <c r="AC18" s="111">
        <v>27</v>
      </c>
      <c r="AD18" s="61"/>
    </row>
    <row r="19" spans="1:30" s="1" customFormat="1" x14ac:dyDescent="0.2">
      <c r="A19" s="87">
        <v>113</v>
      </c>
      <c r="B19" s="2" t="s">
        <v>25</v>
      </c>
      <c r="C19" s="2" t="s">
        <v>22</v>
      </c>
      <c r="D19" s="54" t="s">
        <v>26</v>
      </c>
      <c r="E19" s="26" t="s">
        <v>24</v>
      </c>
      <c r="F19" s="50" t="s">
        <v>133</v>
      </c>
      <c r="G19" s="50"/>
      <c r="H19" s="124"/>
      <c r="I19" s="57">
        <v>0.88640895183460833</v>
      </c>
      <c r="J19" s="57">
        <v>9.9524474074360755E-2</v>
      </c>
      <c r="K19" s="58">
        <v>6.7000000000000004E-2</v>
      </c>
      <c r="L19" s="128"/>
      <c r="M19" s="109">
        <v>35</v>
      </c>
      <c r="N19" s="49"/>
      <c r="O19" s="24">
        <v>9.0843355925925913</v>
      </c>
      <c r="P19" s="59">
        <v>2.0501776684044923</v>
      </c>
      <c r="Q19" s="85" t="s">
        <v>20</v>
      </c>
      <c r="R19" s="128"/>
      <c r="S19" s="24">
        <v>1.7521905779229958</v>
      </c>
      <c r="T19" s="24">
        <v>9.4105517946144718E-2</v>
      </c>
      <c r="U19" s="85" t="s">
        <v>20</v>
      </c>
      <c r="V19" s="62"/>
      <c r="W19" s="113">
        <v>30</v>
      </c>
      <c r="X19" s="130">
        <f t="shared" si="0"/>
        <v>0.8571428571428571</v>
      </c>
      <c r="Y19" s="48">
        <v>1.8404911908134534</v>
      </c>
      <c r="Z19" s="24">
        <v>9.2348800667235012E-2</v>
      </c>
      <c r="AA19" s="85" t="s">
        <v>20</v>
      </c>
      <c r="AB19" s="51"/>
      <c r="AC19" s="113">
        <v>34</v>
      </c>
      <c r="AD19" s="12"/>
    </row>
    <row r="20" spans="1:30" s="1" customFormat="1" x14ac:dyDescent="0.2">
      <c r="A20" s="87">
        <v>130</v>
      </c>
      <c r="B20" s="2" t="s">
        <v>29</v>
      </c>
      <c r="C20" s="2" t="s">
        <v>30</v>
      </c>
      <c r="D20" s="54" t="s">
        <v>31</v>
      </c>
      <c r="E20" s="26" t="s">
        <v>28</v>
      </c>
      <c r="F20" s="50" t="s">
        <v>133</v>
      </c>
      <c r="G20" s="132" t="s">
        <v>122</v>
      </c>
      <c r="H20" s="124"/>
      <c r="I20" s="55">
        <v>0.42321906142024418</v>
      </c>
      <c r="J20" s="57">
        <v>4.075667613775906E-2</v>
      </c>
      <c r="K20" s="83" t="s">
        <v>20</v>
      </c>
      <c r="L20" s="128"/>
      <c r="M20" s="110">
        <v>64</v>
      </c>
      <c r="N20" s="49"/>
      <c r="O20" s="24">
        <v>0.70732130094043821</v>
      </c>
      <c r="P20" s="59">
        <v>0.77125309906632111</v>
      </c>
      <c r="Q20" s="46">
        <v>0.496</v>
      </c>
      <c r="R20" s="128"/>
      <c r="S20" s="24">
        <v>0.9413790535049763</v>
      </c>
      <c r="T20" s="24">
        <v>2.8318079755370346E-2</v>
      </c>
      <c r="U20" s="56">
        <v>0.20399999999999999</v>
      </c>
      <c r="V20" s="63"/>
      <c r="W20" s="111">
        <v>55</v>
      </c>
      <c r="X20" s="131">
        <f t="shared" si="0"/>
        <v>0.859375</v>
      </c>
      <c r="Y20" s="24">
        <v>1.0028614127189295</v>
      </c>
      <c r="Z20" s="24">
        <v>3.3357205333565149E-2</v>
      </c>
      <c r="AA20" s="63">
        <v>1</v>
      </c>
      <c r="AB20" s="51"/>
      <c r="AC20" s="113">
        <v>59</v>
      </c>
      <c r="AD20" s="12"/>
    </row>
    <row r="21" spans="1:30" s="1" customFormat="1" ht="13.5" customHeight="1" x14ac:dyDescent="0.2">
      <c r="A21" s="87">
        <v>144</v>
      </c>
      <c r="B21" s="2" t="s">
        <v>33</v>
      </c>
      <c r="C21" s="2" t="s">
        <v>34</v>
      </c>
      <c r="D21" s="54" t="s">
        <v>35</v>
      </c>
      <c r="E21" s="26" t="s">
        <v>32</v>
      </c>
      <c r="F21" s="50" t="s">
        <v>133</v>
      </c>
      <c r="G21" s="122" t="s">
        <v>122</v>
      </c>
      <c r="H21" s="124"/>
      <c r="I21" s="55">
        <v>1.0132810227418543</v>
      </c>
      <c r="J21" s="57">
        <v>0.13563115877684437</v>
      </c>
      <c r="K21" s="58">
        <v>0.68799999999999994</v>
      </c>
      <c r="L21" s="128"/>
      <c r="M21" s="110">
        <v>64</v>
      </c>
      <c r="N21" s="49"/>
      <c r="O21" s="24">
        <v>-4.563909749126708</v>
      </c>
      <c r="P21" s="59">
        <v>0.98312859769651462</v>
      </c>
      <c r="Q21" s="84">
        <v>2E-3</v>
      </c>
      <c r="R21" s="128"/>
      <c r="S21" s="24">
        <v>1.0608879756784786</v>
      </c>
      <c r="T21" s="24">
        <v>4.6778768269339611E-2</v>
      </c>
      <c r="U21" s="56">
        <v>0.221</v>
      </c>
      <c r="V21" s="58"/>
      <c r="W21" s="111">
        <v>44</v>
      </c>
      <c r="X21" s="131">
        <f t="shared" si="0"/>
        <v>0.6875</v>
      </c>
      <c r="Y21" s="24">
        <v>1.0534926868488315</v>
      </c>
      <c r="Z21" s="24">
        <v>3.2245417511471121E-2</v>
      </c>
      <c r="AA21" s="56">
        <v>0.33</v>
      </c>
      <c r="AB21" s="51"/>
      <c r="AC21" s="113">
        <v>49</v>
      </c>
      <c r="AD21" s="12"/>
    </row>
    <row r="22" spans="1:30" s="1" customFormat="1" x14ac:dyDescent="0.2">
      <c r="A22" s="87">
        <v>144</v>
      </c>
      <c r="B22" s="2" t="s">
        <v>33</v>
      </c>
      <c r="C22" s="2" t="s">
        <v>36</v>
      </c>
      <c r="D22" s="54" t="s">
        <v>37</v>
      </c>
      <c r="E22" s="26" t="s">
        <v>32</v>
      </c>
      <c r="F22" s="50" t="s">
        <v>133</v>
      </c>
      <c r="G22" s="132"/>
      <c r="H22" s="124"/>
      <c r="I22" s="55">
        <v>0.93462019901595905</v>
      </c>
      <c r="J22" s="57">
        <v>0.10662290553266038</v>
      </c>
      <c r="K22" s="58">
        <v>0.753</v>
      </c>
      <c r="L22" s="128"/>
      <c r="M22" s="110">
        <v>78</v>
      </c>
      <c r="N22" s="49"/>
      <c r="O22" s="24">
        <v>-7.5747871113623537</v>
      </c>
      <c r="P22" s="59">
        <v>0.85643663600657838</v>
      </c>
      <c r="Q22" s="85" t="s">
        <v>20</v>
      </c>
      <c r="R22" s="128"/>
      <c r="S22" s="24">
        <v>1.128342713777341</v>
      </c>
      <c r="T22" s="24">
        <v>4.4984418327765119E-2</v>
      </c>
      <c r="U22" s="85">
        <v>8.0000000000000002E-3</v>
      </c>
      <c r="V22" s="58"/>
      <c r="W22" s="111">
        <v>61</v>
      </c>
      <c r="X22" s="131">
        <f t="shared" si="0"/>
        <v>0.78205128205128205</v>
      </c>
      <c r="Y22" s="24">
        <v>1.129189189664342</v>
      </c>
      <c r="Z22" s="24">
        <v>3.5426689673897574E-2</v>
      </c>
      <c r="AA22" s="56">
        <v>1.4E-2</v>
      </c>
      <c r="AB22" s="51"/>
      <c r="AC22" s="113">
        <v>65</v>
      </c>
      <c r="AD22" s="12"/>
    </row>
    <row r="23" spans="1:30" s="1" customFormat="1" x14ac:dyDescent="0.2">
      <c r="A23" s="87">
        <v>193</v>
      </c>
      <c r="B23" s="2" t="s">
        <v>15</v>
      </c>
      <c r="C23" s="2" t="s">
        <v>39</v>
      </c>
      <c r="D23" s="54" t="s">
        <v>40</v>
      </c>
      <c r="E23" s="26" t="s">
        <v>38</v>
      </c>
      <c r="F23" s="50" t="s">
        <v>133</v>
      </c>
      <c r="G23" s="50"/>
      <c r="H23" s="124"/>
      <c r="I23" s="57">
        <v>0.37963217590333065</v>
      </c>
      <c r="J23" s="57">
        <v>0.13559075774578425</v>
      </c>
      <c r="K23" s="84" t="s">
        <v>20</v>
      </c>
      <c r="L23" s="128"/>
      <c r="M23" s="109">
        <v>30</v>
      </c>
      <c r="N23" s="49"/>
      <c r="O23" s="24">
        <v>-14.14564888337469</v>
      </c>
      <c r="P23" s="59">
        <v>2.0320006609654011</v>
      </c>
      <c r="Q23" s="85" t="s">
        <v>20</v>
      </c>
      <c r="R23" s="128"/>
      <c r="S23" s="24">
        <v>1.3108291724548404</v>
      </c>
      <c r="T23" s="24">
        <v>0.20797722503034</v>
      </c>
      <c r="U23" s="85">
        <v>4.0000000000000001E-3</v>
      </c>
      <c r="V23" s="58"/>
      <c r="W23" s="111">
        <v>13</v>
      </c>
      <c r="X23" s="131">
        <f t="shared" si="0"/>
        <v>0.43333333333333335</v>
      </c>
      <c r="Y23" s="24">
        <v>1.6141378100244088</v>
      </c>
      <c r="Z23" s="24">
        <v>0.30623150122336634</v>
      </c>
      <c r="AA23" s="85">
        <v>0.01</v>
      </c>
      <c r="AB23" s="51"/>
      <c r="AC23" s="113">
        <v>13</v>
      </c>
      <c r="AD23" s="12"/>
    </row>
    <row r="24" spans="1:30" s="1" customFormat="1" x14ac:dyDescent="0.2">
      <c r="A24" s="87">
        <v>196</v>
      </c>
      <c r="B24" s="2" t="s">
        <v>15</v>
      </c>
      <c r="C24" s="2" t="s">
        <v>16</v>
      </c>
      <c r="D24" s="54" t="s">
        <v>42</v>
      </c>
      <c r="E24" s="26" t="s">
        <v>41</v>
      </c>
      <c r="F24" s="50" t="s">
        <v>136</v>
      </c>
      <c r="G24" s="132" t="s">
        <v>122</v>
      </c>
      <c r="H24" s="124"/>
      <c r="I24" s="55">
        <v>0.84842837021935291</v>
      </c>
      <c r="J24" s="57">
        <v>0.10273673753398696</v>
      </c>
      <c r="K24" s="62">
        <v>0.36299999999999999</v>
      </c>
      <c r="L24" s="128"/>
      <c r="M24" s="110">
        <v>41</v>
      </c>
      <c r="N24" s="49"/>
      <c r="O24" s="24">
        <v>6.5202828571428562</v>
      </c>
      <c r="P24" s="59">
        <v>1.1957527095915605</v>
      </c>
      <c r="Q24" s="85" t="s">
        <v>20</v>
      </c>
      <c r="R24" s="128"/>
      <c r="S24" s="24">
        <v>1.2300181181475089</v>
      </c>
      <c r="T24" s="24">
        <v>5.0310214726713924E-2</v>
      </c>
      <c r="U24" s="85" t="s">
        <v>20</v>
      </c>
      <c r="V24" s="62"/>
      <c r="W24" s="111">
        <v>35</v>
      </c>
      <c r="X24" s="131">
        <f t="shared" si="0"/>
        <v>0.85365853658536583</v>
      </c>
      <c r="Y24" s="24">
        <v>1.009859160187627</v>
      </c>
      <c r="Z24" s="24">
        <v>4.4023126642419787E-2</v>
      </c>
      <c r="AA24" s="56">
        <v>0.86</v>
      </c>
      <c r="AB24" s="51"/>
      <c r="AC24" s="113">
        <v>37</v>
      </c>
      <c r="AD24" s="12"/>
    </row>
    <row r="25" spans="1:30" s="1" customFormat="1" x14ac:dyDescent="0.2">
      <c r="A25" s="87">
        <v>198</v>
      </c>
      <c r="B25" s="2" t="s">
        <v>33</v>
      </c>
      <c r="C25" s="2" t="s">
        <v>34</v>
      </c>
      <c r="D25" s="54" t="s">
        <v>43</v>
      </c>
      <c r="E25" s="26" t="s">
        <v>41</v>
      </c>
      <c r="F25" s="50" t="s">
        <v>133</v>
      </c>
      <c r="G25" s="132" t="s">
        <v>122</v>
      </c>
      <c r="H25" s="124"/>
      <c r="I25" s="55">
        <v>1.7565679272401638</v>
      </c>
      <c r="J25" s="57">
        <v>0.27842817127198105</v>
      </c>
      <c r="K25" s="85" t="s">
        <v>20</v>
      </c>
      <c r="L25" s="128"/>
      <c r="M25" s="110">
        <v>31</v>
      </c>
      <c r="N25" s="49"/>
      <c r="O25" s="24">
        <v>-10.290273076923079</v>
      </c>
      <c r="P25" s="59">
        <v>1.3242422238607336</v>
      </c>
      <c r="Q25" s="85" t="s">
        <v>20</v>
      </c>
      <c r="R25" s="128"/>
      <c r="S25" s="24">
        <v>1.2303615621683535</v>
      </c>
      <c r="T25" s="24">
        <v>5.251242111362496E-2</v>
      </c>
      <c r="U25" s="85">
        <v>5.0000000000000001E-3</v>
      </c>
      <c r="V25" s="58"/>
      <c r="W25" s="111">
        <v>26</v>
      </c>
      <c r="X25" s="131">
        <f t="shared" si="0"/>
        <v>0.83870967741935487</v>
      </c>
      <c r="Y25" s="24">
        <v>1.0753894818310612</v>
      </c>
      <c r="Z25" s="24">
        <v>4.6249191823510921E-2</v>
      </c>
      <c r="AA25" s="56">
        <v>0.39</v>
      </c>
      <c r="AB25" s="51"/>
      <c r="AC25" s="113">
        <v>26</v>
      </c>
      <c r="AD25" s="12"/>
    </row>
    <row r="26" spans="1:30" s="1" customFormat="1" x14ac:dyDescent="0.2">
      <c r="A26" s="87">
        <v>201</v>
      </c>
      <c r="B26" s="2" t="s">
        <v>33</v>
      </c>
      <c r="C26" s="2" t="s">
        <v>44</v>
      </c>
      <c r="D26" s="54" t="s">
        <v>45</v>
      </c>
      <c r="E26" s="26" t="s">
        <v>41</v>
      </c>
      <c r="F26" s="50" t="s">
        <v>133</v>
      </c>
      <c r="G26" s="132" t="s">
        <v>122</v>
      </c>
      <c r="H26" s="124"/>
      <c r="I26" s="55">
        <v>0.93826299930319179</v>
      </c>
      <c r="J26" s="57">
        <v>0.13417628938389778</v>
      </c>
      <c r="K26" s="58">
        <v>0.73499999999999999</v>
      </c>
      <c r="L26" s="128"/>
      <c r="M26" s="110">
        <v>38</v>
      </c>
      <c r="N26" s="49"/>
      <c r="O26" s="24">
        <v>-3.3564999999999983</v>
      </c>
      <c r="P26" s="59">
        <v>1.3459102248416621</v>
      </c>
      <c r="Q26" s="58">
        <v>3.3000000000000002E-2</v>
      </c>
      <c r="R26" s="128"/>
      <c r="S26" s="24">
        <v>1.3217873804026643</v>
      </c>
      <c r="T26" s="24">
        <v>8.4113202821039734E-2</v>
      </c>
      <c r="U26" s="85">
        <v>1E-3</v>
      </c>
      <c r="V26" s="58"/>
      <c r="W26" s="111">
        <v>25</v>
      </c>
      <c r="X26" s="131">
        <f t="shared" si="0"/>
        <v>0.65789473684210531</v>
      </c>
      <c r="Y26" s="24">
        <v>1.1892071101797523</v>
      </c>
      <c r="Z26" s="24">
        <v>6.7303936786801036E-2</v>
      </c>
      <c r="AA26" s="56">
        <v>3.1E-2</v>
      </c>
      <c r="AB26" s="51"/>
      <c r="AC26" s="113">
        <v>31</v>
      </c>
      <c r="AD26" s="12"/>
    </row>
    <row r="27" spans="1:30" x14ac:dyDescent="0.2">
      <c r="A27" s="87">
        <v>201</v>
      </c>
      <c r="B27" s="2" t="s">
        <v>33</v>
      </c>
      <c r="C27" s="2" t="s">
        <v>46</v>
      </c>
      <c r="D27" s="54" t="s">
        <v>47</v>
      </c>
      <c r="E27" s="26" t="s">
        <v>41</v>
      </c>
      <c r="F27" s="50" t="s">
        <v>133</v>
      </c>
      <c r="G27" s="132" t="s">
        <v>122</v>
      </c>
      <c r="H27" s="124"/>
      <c r="I27" s="55">
        <v>1.0388591411209491</v>
      </c>
      <c r="J27" s="57">
        <v>0.20805073228340629</v>
      </c>
      <c r="K27" s="58">
        <v>6.7000000000000004E-2</v>
      </c>
      <c r="L27" s="128"/>
      <c r="M27" s="110">
        <v>19</v>
      </c>
      <c r="N27" s="49"/>
      <c r="O27" s="24">
        <v>-17.236623093681914</v>
      </c>
      <c r="P27" s="59">
        <v>1.6417691450400504</v>
      </c>
      <c r="Q27" s="85" t="s">
        <v>20</v>
      </c>
      <c r="R27" s="128"/>
      <c r="S27" s="24">
        <v>1.2242194856233073</v>
      </c>
      <c r="T27" s="24">
        <v>9.2591975923156947E-2</v>
      </c>
      <c r="U27" s="56">
        <v>0.13800000000000001</v>
      </c>
      <c r="V27" s="58"/>
      <c r="W27" s="111">
        <v>17</v>
      </c>
      <c r="X27" s="131">
        <f t="shared" si="0"/>
        <v>0.89473684210526316</v>
      </c>
      <c r="Y27" s="24">
        <v>1.5324618158467256</v>
      </c>
      <c r="Z27" s="24">
        <v>8.3938427262415488E-2</v>
      </c>
      <c r="AA27" s="85" t="s">
        <v>20</v>
      </c>
      <c r="AB27" s="51"/>
      <c r="AC27" s="113">
        <v>17</v>
      </c>
      <c r="AD27" s="12"/>
    </row>
    <row r="28" spans="1:30" x14ac:dyDescent="0.2">
      <c r="A28" s="87">
        <v>203</v>
      </c>
      <c r="B28" s="2" t="s">
        <v>17</v>
      </c>
      <c r="C28" s="2" t="s">
        <v>18</v>
      </c>
      <c r="D28" s="54" t="s">
        <v>48</v>
      </c>
      <c r="E28" s="26" t="s">
        <v>41</v>
      </c>
      <c r="F28" s="50" t="s">
        <v>133</v>
      </c>
      <c r="H28" s="124"/>
      <c r="I28" s="55">
        <v>0.94100106949814888</v>
      </c>
      <c r="J28" s="57">
        <v>0.14057108443214575</v>
      </c>
      <c r="K28" s="58">
        <v>6.7000000000000004E-2</v>
      </c>
      <c r="L28" s="128"/>
      <c r="M28" s="87">
        <v>21</v>
      </c>
      <c r="N28" s="49"/>
      <c r="O28" s="24">
        <v>10.872649759259261</v>
      </c>
      <c r="P28" s="59">
        <v>1.6848455709073276</v>
      </c>
      <c r="Q28" s="85" t="s">
        <v>20</v>
      </c>
      <c r="R28" s="128"/>
      <c r="S28" s="24">
        <v>1.6943055970090641</v>
      </c>
      <c r="T28" s="24">
        <v>9.0358856222050629E-2</v>
      </c>
      <c r="U28" s="85" t="s">
        <v>20</v>
      </c>
      <c r="V28" s="62"/>
      <c r="W28" s="111">
        <v>20</v>
      </c>
      <c r="X28" s="131">
        <f t="shared" si="0"/>
        <v>0.95238095238095233</v>
      </c>
      <c r="Y28" s="24">
        <v>1.4663590474867094</v>
      </c>
      <c r="Z28" s="24">
        <v>6.4083238501527556E-2</v>
      </c>
      <c r="AA28" s="85" t="s">
        <v>20</v>
      </c>
      <c r="AB28" s="51"/>
      <c r="AC28" s="113">
        <v>22</v>
      </c>
      <c r="AD28" s="12"/>
    </row>
    <row r="29" spans="1:30" s="26" customFormat="1" x14ac:dyDescent="0.2">
      <c r="A29" s="87">
        <v>204</v>
      </c>
      <c r="B29" s="2" t="s">
        <v>34</v>
      </c>
      <c r="C29" s="2" t="s">
        <v>46</v>
      </c>
      <c r="D29" s="54" t="s">
        <v>49</v>
      </c>
      <c r="E29" s="26" t="s">
        <v>41</v>
      </c>
      <c r="F29" s="50" t="s">
        <v>3</v>
      </c>
      <c r="G29" s="50"/>
      <c r="H29" s="124"/>
      <c r="I29" s="55">
        <v>1.2413815223626492</v>
      </c>
      <c r="J29" s="57">
        <v>0.15311020703773126</v>
      </c>
      <c r="K29" s="58">
        <v>6.7000000000000004E-2</v>
      </c>
      <c r="L29" s="128"/>
      <c r="M29" s="111">
        <v>33</v>
      </c>
      <c r="N29" s="49"/>
      <c r="O29" s="24">
        <v>1.8942004357298472</v>
      </c>
      <c r="P29" s="59">
        <v>0.76902102261802863</v>
      </c>
      <c r="Q29" s="58">
        <v>0.47199999999999998</v>
      </c>
      <c r="R29" s="128"/>
      <c r="S29" s="24">
        <v>1.1493347366436797</v>
      </c>
      <c r="T29" s="24">
        <v>4.1521084666131754E-2</v>
      </c>
      <c r="U29" s="56">
        <v>0.2</v>
      </c>
      <c r="V29" s="58"/>
      <c r="W29" s="111">
        <v>34</v>
      </c>
      <c r="X29" s="131">
        <f t="shared" si="0"/>
        <v>1.0303030303030303</v>
      </c>
      <c r="Y29" s="24">
        <v>1.1393653641595107</v>
      </c>
      <c r="Z29" s="24">
        <v>2.5847819874015368E-2</v>
      </c>
      <c r="AA29" s="56">
        <v>0.1</v>
      </c>
      <c r="AB29" s="51"/>
      <c r="AC29" s="113">
        <v>39</v>
      </c>
      <c r="AD29" s="12"/>
    </row>
    <row r="30" spans="1:30" s="26" customFormat="1" x14ac:dyDescent="0.2">
      <c r="A30" s="87">
        <v>207</v>
      </c>
      <c r="B30" s="2" t="s">
        <v>33</v>
      </c>
      <c r="C30" s="2" t="s">
        <v>34</v>
      </c>
      <c r="D30" s="54" t="s">
        <v>50</v>
      </c>
      <c r="E30" s="26" t="s">
        <v>41</v>
      </c>
      <c r="F30" s="50" t="s">
        <v>3</v>
      </c>
      <c r="G30" s="122" t="s">
        <v>122</v>
      </c>
      <c r="H30" s="124"/>
      <c r="I30" s="55">
        <v>1.0427280630758655</v>
      </c>
      <c r="J30" s="57">
        <v>0.10091396931460472</v>
      </c>
      <c r="K30" s="58">
        <v>0.753</v>
      </c>
      <c r="L30" s="128"/>
      <c r="M30" s="111">
        <v>81</v>
      </c>
      <c r="N30" s="49"/>
      <c r="O30" s="24">
        <v>6.3572378754171268</v>
      </c>
      <c r="P30" s="59">
        <v>0.85812321163466465</v>
      </c>
      <c r="Q30" s="85" t="s">
        <v>20</v>
      </c>
      <c r="R30" s="128"/>
      <c r="S30" s="24">
        <v>1.3427578057093743</v>
      </c>
      <c r="T30" s="24">
        <v>2.9319547757645992E-2</v>
      </c>
      <c r="U30" s="85" t="s">
        <v>20</v>
      </c>
      <c r="V30" s="62"/>
      <c r="W30" s="111">
        <v>62</v>
      </c>
      <c r="X30" s="131">
        <f t="shared" si="0"/>
        <v>0.76543209876543206</v>
      </c>
      <c r="Y30" s="24">
        <v>1.7062644666235209</v>
      </c>
      <c r="Z30" s="24">
        <v>4.3100814542769428E-2</v>
      </c>
      <c r="AA30" s="85" t="s">
        <v>20</v>
      </c>
      <c r="AB30" s="51"/>
      <c r="AC30" s="113">
        <v>79</v>
      </c>
      <c r="AD30" s="12"/>
    </row>
    <row r="31" spans="1:30" s="26" customFormat="1" x14ac:dyDescent="0.2">
      <c r="A31" s="87">
        <v>207</v>
      </c>
      <c r="B31" s="2" t="s">
        <v>33</v>
      </c>
      <c r="C31" s="2" t="s">
        <v>36</v>
      </c>
      <c r="D31" s="54" t="s">
        <v>51</v>
      </c>
      <c r="E31" s="26" t="s">
        <v>41</v>
      </c>
      <c r="F31" s="50" t="s">
        <v>3</v>
      </c>
      <c r="G31" s="132" t="s">
        <v>122</v>
      </c>
      <c r="H31" s="124"/>
      <c r="I31" s="55">
        <v>0.88495729015150504</v>
      </c>
      <c r="J31" s="57">
        <v>7.9935374203528711E-2</v>
      </c>
      <c r="K31" s="58">
        <v>0.36599999999999999</v>
      </c>
      <c r="L31" s="128"/>
      <c r="M31" s="110">
        <v>65</v>
      </c>
      <c r="N31" s="49"/>
      <c r="O31" s="24">
        <v>10.298346994906622</v>
      </c>
      <c r="P31" s="59">
        <v>1.0297441806349386</v>
      </c>
      <c r="Q31" s="85" t="s">
        <v>20</v>
      </c>
      <c r="R31" s="128"/>
      <c r="S31" s="24">
        <v>1.5593088930457195</v>
      </c>
      <c r="T31" s="24">
        <v>4.5840799289515101E-2</v>
      </c>
      <c r="U31" s="85" t="s">
        <v>20</v>
      </c>
      <c r="V31" s="62"/>
      <c r="W31" s="111">
        <v>57</v>
      </c>
      <c r="X31" s="131">
        <f t="shared" si="0"/>
        <v>0.87692307692307692</v>
      </c>
      <c r="Y31" s="10">
        <v>3.2297931889510534</v>
      </c>
      <c r="Z31" s="10">
        <v>0.2090134005629124</v>
      </c>
      <c r="AA31" s="85" t="s">
        <v>20</v>
      </c>
      <c r="AB31" s="51"/>
      <c r="AC31" s="113">
        <v>66</v>
      </c>
      <c r="AD31" s="12"/>
    </row>
    <row r="32" spans="1:30" s="26" customFormat="1" x14ac:dyDescent="0.2">
      <c r="A32" s="87">
        <v>210</v>
      </c>
      <c r="B32" s="2" t="s">
        <v>33</v>
      </c>
      <c r="C32" s="2" t="s">
        <v>46</v>
      </c>
      <c r="D32" s="54" t="s">
        <v>52</v>
      </c>
      <c r="E32" s="26" t="s">
        <v>41</v>
      </c>
      <c r="F32" s="50" t="s">
        <v>133</v>
      </c>
      <c r="G32" s="50"/>
      <c r="H32" s="124"/>
      <c r="I32" s="57">
        <v>0.66511562408631153</v>
      </c>
      <c r="J32" s="57">
        <v>8.8367684679019648E-2</v>
      </c>
      <c r="K32" s="58">
        <v>0.13800000000000001</v>
      </c>
      <c r="L32" s="128"/>
      <c r="M32" s="87">
        <v>46</v>
      </c>
      <c r="N32" s="49"/>
      <c r="O32" s="24">
        <v>5.4829576923076893</v>
      </c>
      <c r="P32" s="59">
        <v>1.1493508630594254</v>
      </c>
      <c r="Q32" s="85" t="s">
        <v>20</v>
      </c>
      <c r="R32" s="128"/>
      <c r="S32" s="24">
        <v>1.4535190916999143</v>
      </c>
      <c r="T32" s="24">
        <v>6.0328956817056571E-2</v>
      </c>
      <c r="U32" s="85" t="s">
        <v>20</v>
      </c>
      <c r="V32" s="62"/>
      <c r="W32" s="111">
        <v>39</v>
      </c>
      <c r="X32" s="131">
        <f t="shared" si="0"/>
        <v>0.84782608695652173</v>
      </c>
      <c r="Y32" s="24">
        <v>0.89425975694020055</v>
      </c>
      <c r="Z32" s="24">
        <v>3.7695829182504935E-2</v>
      </c>
      <c r="AA32" s="56">
        <v>0.17299999999999999</v>
      </c>
      <c r="AB32" s="51"/>
      <c r="AC32" s="113">
        <v>38</v>
      </c>
      <c r="AD32" s="12"/>
    </row>
    <row r="33" spans="1:30" s="26" customFormat="1" x14ac:dyDescent="0.2">
      <c r="A33" s="87">
        <v>212</v>
      </c>
      <c r="B33" s="2" t="s">
        <v>39</v>
      </c>
      <c r="C33" s="2" t="s">
        <v>53</v>
      </c>
      <c r="D33" s="54" t="s">
        <v>54</v>
      </c>
      <c r="E33" s="26" t="s">
        <v>41</v>
      </c>
      <c r="F33" s="50" t="s">
        <v>3</v>
      </c>
      <c r="G33" s="50"/>
      <c r="H33" s="124"/>
      <c r="I33" s="57">
        <v>0.73560407600609901</v>
      </c>
      <c r="J33" s="57">
        <v>9.2197637725100812E-2</v>
      </c>
      <c r="K33" s="58">
        <v>6.0999999999999999E-2</v>
      </c>
      <c r="L33" s="128"/>
      <c r="M33" s="109">
        <v>84</v>
      </c>
      <c r="N33" s="49"/>
      <c r="O33" s="24">
        <v>2.5217349825523416</v>
      </c>
      <c r="P33" s="59">
        <v>0.86186591362046772</v>
      </c>
      <c r="Q33" s="84" t="s">
        <v>20</v>
      </c>
      <c r="R33" s="128"/>
      <c r="S33" s="24">
        <v>1.0376805055873517</v>
      </c>
      <c r="T33" s="24">
        <v>3.9423336604741607E-2</v>
      </c>
      <c r="U33" s="56">
        <v>0.41599999999999998</v>
      </c>
      <c r="V33" s="58"/>
      <c r="W33" s="111">
        <v>59</v>
      </c>
      <c r="X33" s="131">
        <f t="shared" si="0"/>
        <v>0.70238095238095233</v>
      </c>
      <c r="Y33" s="24">
        <v>1.0275866876338515</v>
      </c>
      <c r="Z33" s="24">
        <v>3.9281610042987324E-2</v>
      </c>
      <c r="AA33" s="56">
        <v>0.51300000000000001</v>
      </c>
      <c r="AB33" s="51"/>
      <c r="AC33" s="113">
        <v>68</v>
      </c>
      <c r="AD33" s="12"/>
    </row>
    <row r="34" spans="1:30" s="26" customFormat="1" x14ac:dyDescent="0.2">
      <c r="A34" s="87">
        <v>212</v>
      </c>
      <c r="B34" s="2" t="s">
        <v>39</v>
      </c>
      <c r="C34" s="2" t="s">
        <v>55</v>
      </c>
      <c r="D34" s="54" t="s">
        <v>56</v>
      </c>
      <c r="E34" s="26" t="s">
        <v>41</v>
      </c>
      <c r="F34" s="50" t="s">
        <v>133</v>
      </c>
      <c r="G34" s="50"/>
      <c r="H34" s="124"/>
      <c r="I34" s="57">
        <v>0.49163484703065174</v>
      </c>
      <c r="J34" s="57">
        <v>5.3245085084274862E-2</v>
      </c>
      <c r="K34" s="85" t="s">
        <v>20</v>
      </c>
      <c r="L34" s="128"/>
      <c r="M34" s="109">
        <v>42</v>
      </c>
      <c r="N34" s="49"/>
      <c r="O34" s="24">
        <v>-5.7996388888888912</v>
      </c>
      <c r="P34" s="59">
        <v>0.7163799521836528</v>
      </c>
      <c r="Q34" s="85" t="s">
        <v>20</v>
      </c>
      <c r="R34" s="128"/>
      <c r="S34" s="24">
        <v>0.99110901125332851</v>
      </c>
      <c r="T34" s="24">
        <v>4.8174407179856715E-2</v>
      </c>
      <c r="U34" s="56">
        <v>0.875</v>
      </c>
      <c r="V34" s="58"/>
      <c r="W34" s="111">
        <v>36</v>
      </c>
      <c r="X34" s="131">
        <f t="shared" si="0"/>
        <v>0.8571428571428571</v>
      </c>
      <c r="Y34" s="24">
        <v>1.0751157336432811</v>
      </c>
      <c r="Z34" s="24">
        <v>3.2668959586539009E-2</v>
      </c>
      <c r="AA34" s="56">
        <v>0.112</v>
      </c>
      <c r="AB34" s="51"/>
      <c r="AC34" s="113">
        <v>33</v>
      </c>
      <c r="AD34" s="12"/>
    </row>
    <row r="35" spans="1:30" s="26" customFormat="1" x14ac:dyDescent="0.2">
      <c r="A35" s="87">
        <v>214</v>
      </c>
      <c r="B35" s="2" t="s">
        <v>33</v>
      </c>
      <c r="C35" s="2" t="s">
        <v>36</v>
      </c>
      <c r="D35" s="54" t="s">
        <v>57</v>
      </c>
      <c r="E35" s="26" t="s">
        <v>41</v>
      </c>
      <c r="F35" s="50" t="s">
        <v>133</v>
      </c>
      <c r="G35" s="132" t="s">
        <v>122</v>
      </c>
      <c r="H35" s="124"/>
      <c r="I35" s="55">
        <v>0.62752758828338073</v>
      </c>
      <c r="J35" s="57">
        <v>7.6408550178829152E-2</v>
      </c>
      <c r="K35" s="84">
        <v>2E-3</v>
      </c>
      <c r="L35" s="128"/>
      <c r="M35" s="110">
        <v>71</v>
      </c>
      <c r="N35" s="49"/>
      <c r="O35" s="24">
        <v>-1.7754907160493838</v>
      </c>
      <c r="P35" s="59">
        <v>0.70262969634944694</v>
      </c>
      <c r="Q35" s="58">
        <v>0.107</v>
      </c>
      <c r="R35" s="128"/>
      <c r="S35" s="24">
        <v>0.87997008181707159</v>
      </c>
      <c r="T35" s="24">
        <v>3.225339760410293E-2</v>
      </c>
      <c r="U35" s="56">
        <v>2.1000000000000001E-2</v>
      </c>
      <c r="V35" s="58"/>
      <c r="W35" s="111">
        <v>45</v>
      </c>
      <c r="X35" s="131">
        <f t="shared" si="0"/>
        <v>0.63380281690140849</v>
      </c>
      <c r="Y35" s="24">
        <v>0.99069290692279155</v>
      </c>
      <c r="Z35" s="24">
        <v>4.1511939828383103E-2</v>
      </c>
      <c r="AA35" s="56">
        <v>7.8E-2</v>
      </c>
      <c r="AB35" s="51"/>
      <c r="AC35" s="113">
        <v>56</v>
      </c>
      <c r="AD35" s="12"/>
    </row>
    <row r="36" spans="1:30" s="1" customFormat="1" x14ac:dyDescent="0.2">
      <c r="A36" s="87">
        <v>228</v>
      </c>
      <c r="B36" s="2" t="s">
        <v>46</v>
      </c>
      <c r="C36" s="2" t="s">
        <v>34</v>
      </c>
      <c r="D36" s="54" t="s">
        <v>60</v>
      </c>
      <c r="E36" s="26" t="s">
        <v>58</v>
      </c>
      <c r="F36" s="50" t="s">
        <v>3</v>
      </c>
      <c r="G36" s="50"/>
      <c r="H36" s="124"/>
      <c r="I36" s="57">
        <v>0.96465539996228344</v>
      </c>
      <c r="J36" s="57">
        <v>0.13319338757160845</v>
      </c>
      <c r="K36" s="56">
        <v>0.747</v>
      </c>
      <c r="L36" s="128"/>
      <c r="M36" s="109">
        <v>43</v>
      </c>
      <c r="N36" s="49"/>
      <c r="O36" s="24">
        <v>-1.5854429824561436</v>
      </c>
      <c r="P36" s="59">
        <v>0.77172111385998787</v>
      </c>
      <c r="Q36" s="58">
        <v>0.10199999999999999</v>
      </c>
      <c r="R36" s="128"/>
      <c r="S36" s="24">
        <v>0.86298574490357194</v>
      </c>
      <c r="T36" s="24">
        <v>4.3510327272832015E-2</v>
      </c>
      <c r="U36" s="56">
        <v>2.9000000000000001E-2</v>
      </c>
      <c r="V36" s="63"/>
      <c r="W36" s="111">
        <v>38</v>
      </c>
      <c r="X36" s="131">
        <f t="shared" si="0"/>
        <v>0.88372093023255816</v>
      </c>
      <c r="Y36" s="24">
        <v>0.9902522396288157</v>
      </c>
      <c r="Z36" s="24">
        <v>4.0851719694476304E-2</v>
      </c>
      <c r="AA36" s="63">
        <v>0.112</v>
      </c>
      <c r="AB36" s="51"/>
      <c r="AC36" s="113">
        <v>39</v>
      </c>
      <c r="AD36" s="12"/>
    </row>
    <row r="37" spans="1:30" s="26" customFormat="1" x14ac:dyDescent="0.2">
      <c r="A37" s="87">
        <v>228</v>
      </c>
      <c r="B37" s="2" t="s">
        <v>46</v>
      </c>
      <c r="C37" s="2" t="s">
        <v>33</v>
      </c>
      <c r="D37" s="54" t="s">
        <v>59</v>
      </c>
      <c r="E37" s="26" t="s">
        <v>58</v>
      </c>
      <c r="F37" s="50" t="s">
        <v>133</v>
      </c>
      <c r="G37" s="50"/>
      <c r="H37" s="124"/>
      <c r="I37" s="55">
        <v>0.32193771060642534</v>
      </c>
      <c r="J37" s="57">
        <v>4.4284627621386352E-2</v>
      </c>
      <c r="K37" s="62" t="s">
        <v>20</v>
      </c>
      <c r="L37" s="128"/>
      <c r="M37" s="110">
        <v>54</v>
      </c>
      <c r="N37" s="49"/>
      <c r="O37" s="24">
        <v>-3.2467396143250649</v>
      </c>
      <c r="P37" s="59">
        <v>1.1823803751492239</v>
      </c>
      <c r="Q37" s="58">
        <v>0.39500000000000002</v>
      </c>
      <c r="R37" s="128"/>
      <c r="S37" s="24">
        <v>1.0940220016714617</v>
      </c>
      <c r="T37" s="24">
        <v>5.456540348905653E-2</v>
      </c>
      <c r="U37" s="56">
        <v>0.28000000000000003</v>
      </c>
      <c r="V37" s="58"/>
      <c r="W37" s="111">
        <v>44</v>
      </c>
      <c r="X37" s="131">
        <f t="shared" si="0"/>
        <v>0.81481481481481477</v>
      </c>
      <c r="Y37" s="24">
        <v>1.2054359301141213</v>
      </c>
      <c r="Z37" s="24">
        <v>7.1130179531657539E-2</v>
      </c>
      <c r="AA37" s="56">
        <v>2.7E-2</v>
      </c>
      <c r="AB37" s="51"/>
      <c r="AC37" s="113">
        <v>38</v>
      </c>
      <c r="AD37" s="12"/>
    </row>
    <row r="38" spans="1:30" s="26" customFormat="1" x14ac:dyDescent="0.2">
      <c r="A38" s="87">
        <v>228</v>
      </c>
      <c r="B38" s="2" t="s">
        <v>46</v>
      </c>
      <c r="C38" s="2" t="s">
        <v>55</v>
      </c>
      <c r="D38" s="54" t="s">
        <v>61</v>
      </c>
      <c r="E38" s="26" t="s">
        <v>58</v>
      </c>
      <c r="F38" s="50" t="s">
        <v>133</v>
      </c>
      <c r="G38" s="50"/>
      <c r="H38" s="124"/>
      <c r="I38" s="57">
        <v>0.5967664063401269</v>
      </c>
      <c r="J38" s="57">
        <v>6.9047801289846444E-2</v>
      </c>
      <c r="K38" s="58">
        <v>1.0999999999999999E-2</v>
      </c>
      <c r="L38" s="128"/>
      <c r="M38" s="109">
        <v>74</v>
      </c>
      <c r="N38" s="49"/>
      <c r="O38" s="24">
        <v>-1.1917900608519281</v>
      </c>
      <c r="P38" s="59">
        <v>0.742648277204772</v>
      </c>
      <c r="Q38" s="58">
        <v>4.1000000000000002E-2</v>
      </c>
      <c r="R38" s="128"/>
      <c r="S38" s="24">
        <v>0.93219136484527554</v>
      </c>
      <c r="T38" s="24">
        <v>4.2678385578144983E-2</v>
      </c>
      <c r="U38" s="56">
        <v>0.40100000000000002</v>
      </c>
      <c r="V38" s="63"/>
      <c r="W38" s="53">
        <v>58</v>
      </c>
      <c r="X38" s="131">
        <f t="shared" si="0"/>
        <v>0.78378378378378377</v>
      </c>
      <c r="Y38" s="24">
        <v>1.0366651590501312</v>
      </c>
      <c r="Z38" s="24">
        <v>3.5817881215567449E-2</v>
      </c>
      <c r="AA38" s="56">
        <v>0.63400000000000001</v>
      </c>
      <c r="AB38" s="51"/>
      <c r="AC38" s="113">
        <v>62</v>
      </c>
      <c r="AD38" s="12"/>
    </row>
    <row r="39" spans="1:30" s="1" customFormat="1" x14ac:dyDescent="0.2">
      <c r="A39" s="87">
        <v>238</v>
      </c>
      <c r="B39" s="2" t="s">
        <v>27</v>
      </c>
      <c r="C39" s="2" t="s">
        <v>16</v>
      </c>
      <c r="D39" s="54" t="s">
        <v>63</v>
      </c>
      <c r="E39" s="26" t="s">
        <v>62</v>
      </c>
      <c r="F39" s="50" t="s">
        <v>1</v>
      </c>
      <c r="G39" s="50"/>
      <c r="H39" s="124"/>
      <c r="I39" s="55">
        <v>0.64034426233042352</v>
      </c>
      <c r="J39" s="55">
        <v>9.7076219455862978E-2</v>
      </c>
      <c r="K39" s="62">
        <v>0.16700000000000001</v>
      </c>
      <c r="L39" s="128"/>
      <c r="M39" s="110">
        <v>49</v>
      </c>
      <c r="N39" s="49"/>
      <c r="O39" s="24">
        <v>-0.35526076555023944</v>
      </c>
      <c r="P39" s="59">
        <v>0.6153119623983726</v>
      </c>
      <c r="Q39" s="58">
        <v>0.95899999999999996</v>
      </c>
      <c r="R39" s="128"/>
      <c r="S39" s="24">
        <v>1.0349456407128328</v>
      </c>
      <c r="T39" s="24">
        <v>3.643743927998272E-2</v>
      </c>
      <c r="U39" s="56">
        <v>0.11600000000000001</v>
      </c>
      <c r="V39" s="58"/>
      <c r="W39" s="53">
        <v>44</v>
      </c>
      <c r="X39" s="131">
        <f t="shared" si="0"/>
        <v>0.89795918367346939</v>
      </c>
      <c r="Y39" s="10">
        <v>0.9305609008466118</v>
      </c>
      <c r="Z39" s="10">
        <v>3.4564624572619225E-2</v>
      </c>
      <c r="AA39" s="62">
        <v>0.38</v>
      </c>
      <c r="AB39" s="51"/>
      <c r="AC39" s="113">
        <v>39</v>
      </c>
      <c r="AD39" s="12"/>
    </row>
    <row r="40" spans="1:30" s="1" customFormat="1" x14ac:dyDescent="0.2">
      <c r="A40" s="87">
        <v>243</v>
      </c>
      <c r="B40" s="2" t="s">
        <v>17</v>
      </c>
      <c r="C40" s="2" t="s">
        <v>22</v>
      </c>
      <c r="D40" s="54" t="s">
        <v>64</v>
      </c>
      <c r="E40" s="26" t="s">
        <v>62</v>
      </c>
      <c r="F40" s="50" t="s">
        <v>3</v>
      </c>
      <c r="G40" s="122" t="s">
        <v>122</v>
      </c>
      <c r="H40" s="124"/>
      <c r="I40" s="55">
        <v>0.57915590637768521</v>
      </c>
      <c r="J40" s="57">
        <v>7.0820098558133954E-2</v>
      </c>
      <c r="K40" s="83" t="s">
        <v>20</v>
      </c>
      <c r="L40" s="128"/>
      <c r="M40" s="110">
        <v>79</v>
      </c>
      <c r="N40" s="49"/>
      <c r="O40" s="10">
        <v>-5.9391138341543499</v>
      </c>
      <c r="P40" s="96">
        <v>0.61556564204665976</v>
      </c>
      <c r="Q40" s="83" t="s">
        <v>20</v>
      </c>
      <c r="R40" s="128"/>
      <c r="S40" s="24">
        <v>0.91007641920972637</v>
      </c>
      <c r="T40" s="24">
        <v>3.7756450763456025E-2</v>
      </c>
      <c r="U40" s="56">
        <v>0.14000000000000001</v>
      </c>
      <c r="V40" s="63"/>
      <c r="W40" s="53">
        <v>63</v>
      </c>
      <c r="X40" s="131">
        <f t="shared" si="0"/>
        <v>0.79746835443037978</v>
      </c>
      <c r="Y40" s="24">
        <v>1.1407806954838213</v>
      </c>
      <c r="Z40" s="24">
        <v>5.7252741491357569E-2</v>
      </c>
      <c r="AA40" s="63">
        <v>4.3999999999999997E-2</v>
      </c>
      <c r="AB40" s="51"/>
      <c r="AC40" s="113">
        <v>59</v>
      </c>
      <c r="AD40" s="12"/>
    </row>
    <row r="41" spans="1:30" s="1" customFormat="1" x14ac:dyDescent="0.2">
      <c r="A41" s="87">
        <v>274</v>
      </c>
      <c r="B41" s="2" t="s">
        <v>66</v>
      </c>
      <c r="C41" s="2" t="s">
        <v>67</v>
      </c>
      <c r="D41" s="54" t="s">
        <v>68</v>
      </c>
      <c r="E41" s="26" t="s">
        <v>65</v>
      </c>
      <c r="F41" s="50" t="s">
        <v>133</v>
      </c>
      <c r="G41" s="132" t="s">
        <v>122</v>
      </c>
      <c r="H41" s="124"/>
      <c r="I41" s="55">
        <v>0.5157176863516636</v>
      </c>
      <c r="J41" s="57">
        <v>2.773763319651866E-2</v>
      </c>
      <c r="K41" s="85" t="s">
        <v>20</v>
      </c>
      <c r="L41" s="128"/>
      <c r="M41" s="111">
        <v>515</v>
      </c>
      <c r="N41" s="49"/>
      <c r="O41" s="10">
        <v>1.9985912708108444</v>
      </c>
      <c r="P41" s="96">
        <v>0.41721953066405154</v>
      </c>
      <c r="Q41" s="85" t="s">
        <v>20</v>
      </c>
      <c r="R41" s="128"/>
      <c r="S41" s="24">
        <v>0.89259640409896968</v>
      </c>
      <c r="T41" s="24">
        <v>1.4067281810857047E-2</v>
      </c>
      <c r="U41" s="85" t="s">
        <v>20</v>
      </c>
      <c r="V41" s="62"/>
      <c r="W41" s="53">
        <v>350</v>
      </c>
      <c r="X41" s="131">
        <f t="shared" si="0"/>
        <v>0.67961165048543692</v>
      </c>
      <c r="Y41" s="24">
        <v>1.1474887725298379</v>
      </c>
      <c r="Z41" s="24">
        <v>1.9263395912629717E-2</v>
      </c>
      <c r="AA41" s="85" t="s">
        <v>20</v>
      </c>
      <c r="AB41" s="51"/>
      <c r="AC41" s="113">
        <v>397</v>
      </c>
      <c r="AD41" s="12"/>
    </row>
    <row r="42" spans="1:30" s="1" customFormat="1" x14ac:dyDescent="0.2">
      <c r="A42" s="87">
        <v>276</v>
      </c>
      <c r="B42" s="2" t="s">
        <v>66</v>
      </c>
      <c r="C42" s="2" t="s">
        <v>27</v>
      </c>
      <c r="D42" s="54" t="s">
        <v>69</v>
      </c>
      <c r="E42" s="26" t="s">
        <v>65</v>
      </c>
      <c r="F42" s="50" t="s">
        <v>133</v>
      </c>
      <c r="G42" s="50"/>
      <c r="H42" s="124"/>
      <c r="I42" s="57">
        <v>0.32106490061064868</v>
      </c>
      <c r="J42" s="57">
        <v>5.8548109728639303E-2</v>
      </c>
      <c r="K42" s="85">
        <v>8.9999999999999993E-3</v>
      </c>
      <c r="L42" s="128"/>
      <c r="M42" s="110">
        <v>35</v>
      </c>
      <c r="N42" s="49"/>
      <c r="O42" s="10">
        <v>-0.53320000000000101</v>
      </c>
      <c r="P42" s="96">
        <v>0.94207550122057637</v>
      </c>
      <c r="Q42" s="63">
        <v>0.66900000000000004</v>
      </c>
      <c r="R42" s="128"/>
      <c r="S42" s="24">
        <v>0.88638221765516623</v>
      </c>
      <c r="T42" s="24">
        <v>4.68130094558784E-2</v>
      </c>
      <c r="U42" s="56">
        <v>0.13</v>
      </c>
      <c r="V42" s="63"/>
      <c r="W42" s="114">
        <v>14</v>
      </c>
      <c r="X42" s="130">
        <f t="shared" si="0"/>
        <v>0.4</v>
      </c>
      <c r="Y42" s="48">
        <v>1.2418655962542799</v>
      </c>
      <c r="Z42" s="24">
        <v>0.10791131848009065</v>
      </c>
      <c r="AA42" s="56">
        <v>7.3999999999999996E-2</v>
      </c>
      <c r="AB42" s="51"/>
      <c r="AC42" s="113">
        <v>23</v>
      </c>
      <c r="AD42" s="12"/>
    </row>
    <row r="43" spans="1:30" s="1" customFormat="1" x14ac:dyDescent="0.2">
      <c r="A43" s="87">
        <v>276</v>
      </c>
      <c r="B43" s="2" t="s">
        <v>66</v>
      </c>
      <c r="C43" s="2" t="s">
        <v>18</v>
      </c>
      <c r="D43" s="54" t="s">
        <v>70</v>
      </c>
      <c r="E43" s="26" t="s">
        <v>65</v>
      </c>
      <c r="F43" s="50" t="s">
        <v>133</v>
      </c>
      <c r="G43" s="50"/>
      <c r="H43" s="124"/>
      <c r="I43" s="57">
        <v>0.37297989822181582</v>
      </c>
      <c r="J43" s="57">
        <v>4.3739693748539539E-2</v>
      </c>
      <c r="K43" s="85" t="s">
        <v>20</v>
      </c>
      <c r="L43" s="128"/>
      <c r="M43" s="110">
        <v>51</v>
      </c>
      <c r="N43" s="49"/>
      <c r="O43" s="10">
        <v>1.2445392555994774</v>
      </c>
      <c r="P43" s="96">
        <v>1.1901695647321986</v>
      </c>
      <c r="Q43" s="63">
        <v>0.77200000000000002</v>
      </c>
      <c r="R43" s="128"/>
      <c r="S43" s="24">
        <v>0.8528072657377076</v>
      </c>
      <c r="T43" s="24">
        <v>5.7043178251896136E-2</v>
      </c>
      <c r="U43" s="56">
        <v>5.1999999999999998E-2</v>
      </c>
      <c r="V43" s="63"/>
      <c r="W43" s="114">
        <v>46</v>
      </c>
      <c r="X43" s="130">
        <f t="shared" si="0"/>
        <v>0.90196078431372551</v>
      </c>
      <c r="Y43" s="48">
        <v>1.1457349425922663</v>
      </c>
      <c r="Z43" s="24">
        <v>8.6482457778034857E-2</v>
      </c>
      <c r="AA43" s="63">
        <v>0.13300000000000001</v>
      </c>
      <c r="AB43" s="51"/>
      <c r="AC43" s="113">
        <v>45</v>
      </c>
      <c r="AD43" s="12"/>
    </row>
    <row r="44" spans="1:30" s="1" customFormat="1" x14ac:dyDescent="0.2">
      <c r="A44" s="87">
        <v>276</v>
      </c>
      <c r="B44" s="2" t="s">
        <v>66</v>
      </c>
      <c r="C44" s="2" t="s">
        <v>27</v>
      </c>
      <c r="D44" s="54" t="s">
        <v>71</v>
      </c>
      <c r="E44" s="26" t="s">
        <v>65</v>
      </c>
      <c r="F44" s="50" t="s">
        <v>133</v>
      </c>
      <c r="G44" s="50"/>
      <c r="H44" s="124"/>
      <c r="I44" s="57">
        <v>0.44936609734492905</v>
      </c>
      <c r="J44" s="57">
        <v>6.1457564339671471E-2</v>
      </c>
      <c r="K44" s="85" t="s">
        <v>20</v>
      </c>
      <c r="L44" s="128"/>
      <c r="M44" s="110">
        <v>58</v>
      </c>
      <c r="N44" s="49"/>
      <c r="O44" s="10">
        <v>0.88355830303030736</v>
      </c>
      <c r="P44" s="96">
        <v>1.0745756491509264</v>
      </c>
      <c r="Q44" s="63">
        <v>0.79200000000000004</v>
      </c>
      <c r="R44" s="128"/>
      <c r="S44" s="24">
        <v>0.85205041007025351</v>
      </c>
      <c r="T44" s="24">
        <v>4.7356670007535261E-2</v>
      </c>
      <c r="U44" s="56">
        <v>3.5999999999999997E-2</v>
      </c>
      <c r="V44" s="63"/>
      <c r="W44" s="114">
        <v>45</v>
      </c>
      <c r="X44" s="130">
        <f t="shared" si="0"/>
        <v>0.77586206896551724</v>
      </c>
      <c r="Y44" s="48">
        <v>1.0622042222375854</v>
      </c>
      <c r="Z44" s="24">
        <v>5.3305757686917768E-2</v>
      </c>
      <c r="AA44" s="63">
        <v>0.65900000000000003</v>
      </c>
      <c r="AB44" s="51"/>
      <c r="AC44" s="113">
        <v>40</v>
      </c>
      <c r="AD44" s="12"/>
    </row>
    <row r="45" spans="1:30" s="1" customFormat="1" x14ac:dyDescent="0.2">
      <c r="A45" s="87">
        <v>278</v>
      </c>
      <c r="B45" s="2" t="s">
        <v>27</v>
      </c>
      <c r="C45" s="2" t="s">
        <v>66</v>
      </c>
      <c r="D45" s="54" t="s">
        <v>72</v>
      </c>
      <c r="E45" s="26" t="s">
        <v>65</v>
      </c>
      <c r="F45" s="50" t="s">
        <v>133</v>
      </c>
      <c r="G45" s="50"/>
      <c r="H45" s="124"/>
      <c r="I45" s="57">
        <v>0.24570109203568677</v>
      </c>
      <c r="J45" s="57">
        <v>3.8576738132906081E-2</v>
      </c>
      <c r="K45" s="85" t="s">
        <v>20</v>
      </c>
      <c r="L45" s="128"/>
      <c r="M45" s="87">
        <v>36</v>
      </c>
      <c r="N45" s="49"/>
      <c r="O45" s="10">
        <v>-6.1734880952380982</v>
      </c>
      <c r="P45" s="96">
        <v>0.6425644542404777</v>
      </c>
      <c r="Q45" s="85" t="s">
        <v>20</v>
      </c>
      <c r="R45" s="128"/>
      <c r="S45" s="24">
        <v>0.77103945792202788</v>
      </c>
      <c r="T45" s="24">
        <v>4.4524631621805213E-2</v>
      </c>
      <c r="U45" s="85">
        <v>4.0000000000000001E-3</v>
      </c>
      <c r="V45" s="63"/>
      <c r="W45" s="114">
        <v>28</v>
      </c>
      <c r="X45" s="130">
        <f t="shared" si="0"/>
        <v>0.77777777777777779</v>
      </c>
      <c r="Y45" s="48">
        <v>0.92446612500000003</v>
      </c>
      <c r="Z45" s="24">
        <v>7.0552103023618353E-3</v>
      </c>
      <c r="AA45" s="56">
        <v>0.112</v>
      </c>
      <c r="AB45" s="51"/>
      <c r="AC45" s="113">
        <v>24</v>
      </c>
      <c r="AD45" s="12"/>
    </row>
    <row r="46" spans="1:30" s="1" customFormat="1" x14ac:dyDescent="0.2">
      <c r="A46" s="87">
        <v>278</v>
      </c>
      <c r="B46" s="2" t="s">
        <v>27</v>
      </c>
      <c r="C46" s="2" t="s">
        <v>16</v>
      </c>
      <c r="D46" s="54" t="s">
        <v>73</v>
      </c>
      <c r="E46" s="26" t="s">
        <v>65</v>
      </c>
      <c r="F46" s="50" t="s">
        <v>1</v>
      </c>
      <c r="G46" s="50"/>
      <c r="H46" s="124"/>
      <c r="I46" s="55">
        <v>1.0936563359719838</v>
      </c>
      <c r="J46" s="57">
        <v>0.17612554734276012</v>
      </c>
      <c r="K46" s="58">
        <v>0.60299999999999998</v>
      </c>
      <c r="L46" s="128"/>
      <c r="M46" s="110">
        <v>31</v>
      </c>
      <c r="N46" s="49"/>
      <c r="O46" s="10">
        <v>-1.9093492063492075</v>
      </c>
      <c r="P46" s="96">
        <v>1.0966569817063678</v>
      </c>
      <c r="Q46" s="63">
        <v>5.5E-2</v>
      </c>
      <c r="R46" s="128"/>
      <c r="S46" s="24">
        <v>0.92410119415100267</v>
      </c>
      <c r="T46" s="24">
        <v>5.0606170208647709E-2</v>
      </c>
      <c r="U46" s="56">
        <v>0.23499999999999999</v>
      </c>
      <c r="V46" s="63"/>
      <c r="W46" s="114">
        <v>28</v>
      </c>
      <c r="X46" s="130">
        <f t="shared" si="0"/>
        <v>0.90322580645161288</v>
      </c>
      <c r="Y46" s="48">
        <v>1.088945873341193</v>
      </c>
      <c r="Z46" s="24">
        <v>6.6149385863784937E-2</v>
      </c>
      <c r="AA46" s="63">
        <v>0.46</v>
      </c>
      <c r="AB46" s="51"/>
      <c r="AC46" s="113">
        <v>32</v>
      </c>
      <c r="AD46" s="12"/>
    </row>
    <row r="47" spans="1:30" s="1" customFormat="1" x14ac:dyDescent="0.2">
      <c r="A47" s="87">
        <v>279</v>
      </c>
      <c r="B47" s="2" t="s">
        <v>53</v>
      </c>
      <c r="C47" s="2" t="s">
        <v>44</v>
      </c>
      <c r="D47" s="54" t="s">
        <v>74</v>
      </c>
      <c r="E47" s="26" t="s">
        <v>65</v>
      </c>
      <c r="F47" s="50" t="s">
        <v>133</v>
      </c>
      <c r="G47" s="50"/>
      <c r="H47" s="124"/>
      <c r="I47" s="57">
        <v>0.49408993361116604</v>
      </c>
      <c r="J47" s="57">
        <v>5.4978672835103146E-2</v>
      </c>
      <c r="K47" s="85" t="s">
        <v>20</v>
      </c>
      <c r="L47" s="128"/>
      <c r="M47" s="109">
        <v>41</v>
      </c>
      <c r="N47" s="49"/>
      <c r="O47" s="10">
        <v>-4.9713042350482501</v>
      </c>
      <c r="P47" s="96">
        <v>0.9497503519369267</v>
      </c>
      <c r="Q47" s="85" t="s">
        <v>20</v>
      </c>
      <c r="R47" s="128"/>
      <c r="S47" s="24">
        <v>0.89257331928687367</v>
      </c>
      <c r="T47" s="24">
        <v>3.0498643532947445E-2</v>
      </c>
      <c r="U47" s="56">
        <v>3.1E-2</v>
      </c>
      <c r="V47" s="63"/>
      <c r="W47" s="114">
        <v>33</v>
      </c>
      <c r="X47" s="130">
        <f t="shared" si="0"/>
        <v>0.80487804878048785</v>
      </c>
      <c r="Y47" s="48">
        <v>1.0598778239470166</v>
      </c>
      <c r="Z47" s="24">
        <v>2.971789232670315E-2</v>
      </c>
      <c r="AA47" s="56">
        <v>0.10100000000000001</v>
      </c>
      <c r="AB47" s="51"/>
      <c r="AC47" s="113">
        <v>37</v>
      </c>
      <c r="AD47" s="12"/>
    </row>
    <row r="48" spans="1:30" s="1" customFormat="1" x14ac:dyDescent="0.2">
      <c r="A48" s="87">
        <v>279</v>
      </c>
      <c r="B48" s="2" t="s">
        <v>53</v>
      </c>
      <c r="C48" s="2" t="s">
        <v>25</v>
      </c>
      <c r="D48" s="54" t="s">
        <v>75</v>
      </c>
      <c r="E48" s="26" t="s">
        <v>65</v>
      </c>
      <c r="F48" s="50" t="s">
        <v>133</v>
      </c>
      <c r="G48" s="132" t="s">
        <v>122</v>
      </c>
      <c r="H48" s="124"/>
      <c r="I48" s="55">
        <v>0.32095462296690425</v>
      </c>
      <c r="J48" s="57">
        <v>4.2363285915869298E-2</v>
      </c>
      <c r="K48" s="85" t="s">
        <v>20</v>
      </c>
      <c r="L48" s="128"/>
      <c r="M48" s="110">
        <v>43</v>
      </c>
      <c r="N48" s="49"/>
      <c r="O48" s="10">
        <v>-4.1042366013071865</v>
      </c>
      <c r="P48" s="96">
        <v>0.70532507511299525</v>
      </c>
      <c r="Q48" s="85" t="s">
        <v>20</v>
      </c>
      <c r="R48" s="128"/>
      <c r="S48" s="24">
        <v>0.77928683942182175</v>
      </c>
      <c r="T48" s="24">
        <v>2.7957544699429321E-2</v>
      </c>
      <c r="U48" s="85" t="s">
        <v>20</v>
      </c>
      <c r="V48" s="62"/>
      <c r="W48" s="114">
        <v>27</v>
      </c>
      <c r="X48" s="130">
        <f t="shared" si="0"/>
        <v>0.62790697674418605</v>
      </c>
      <c r="Y48" s="48">
        <v>1.1939767340011971</v>
      </c>
      <c r="Z48" s="24">
        <v>8.0778326983771395E-2</v>
      </c>
      <c r="AA48" s="56">
        <v>3.3000000000000002E-2</v>
      </c>
      <c r="AB48" s="51"/>
      <c r="AC48" s="113">
        <v>29</v>
      </c>
      <c r="AD48" s="12"/>
    </row>
    <row r="49" spans="1:30" s="1" customFormat="1" x14ac:dyDescent="0.2">
      <c r="A49" s="87">
        <v>280</v>
      </c>
      <c r="B49" s="2" t="s">
        <v>55</v>
      </c>
      <c r="C49" s="2" t="s">
        <v>46</v>
      </c>
      <c r="D49" s="54" t="s">
        <v>76</v>
      </c>
      <c r="E49" s="26" t="s">
        <v>65</v>
      </c>
      <c r="F49" s="50" t="s">
        <v>133</v>
      </c>
      <c r="G49" s="50"/>
      <c r="H49" s="124"/>
      <c r="I49" s="57">
        <v>0.20811332838635149</v>
      </c>
      <c r="J49" s="57">
        <v>2.7756968226125164E-2</v>
      </c>
      <c r="K49" s="85" t="s">
        <v>20</v>
      </c>
      <c r="L49" s="128"/>
      <c r="M49" s="109">
        <v>63</v>
      </c>
      <c r="N49" s="49"/>
      <c r="O49" s="10">
        <v>-2.3370453917050718</v>
      </c>
      <c r="P49" s="96">
        <v>0.63642331723506007</v>
      </c>
      <c r="Q49" s="63">
        <v>0.122</v>
      </c>
      <c r="R49" s="128"/>
      <c r="S49" s="24">
        <v>0.77358009578556175</v>
      </c>
      <c r="T49" s="24">
        <v>4.3993438988010156E-2</v>
      </c>
      <c r="U49" s="85" t="s">
        <v>20</v>
      </c>
      <c r="V49" s="63"/>
      <c r="W49" s="114">
        <v>35</v>
      </c>
      <c r="X49" s="130">
        <f t="shared" ref="X49:X80" si="1">(W49/M49)</f>
        <v>0.55555555555555558</v>
      </c>
      <c r="Y49" s="48">
        <v>1.1099162219472978</v>
      </c>
      <c r="Z49" s="24">
        <v>3.9260263371819461E-2</v>
      </c>
      <c r="AA49" s="56">
        <v>7.9000000000000001E-2</v>
      </c>
      <c r="AB49" s="51"/>
      <c r="AC49" s="113">
        <v>39</v>
      </c>
      <c r="AD49" s="12"/>
    </row>
    <row r="50" spans="1:30" s="1" customFormat="1" x14ac:dyDescent="0.2">
      <c r="A50" s="87">
        <v>281</v>
      </c>
      <c r="B50" s="2" t="s">
        <v>53</v>
      </c>
      <c r="C50" s="2" t="s">
        <v>33</v>
      </c>
      <c r="D50" s="54" t="s">
        <v>77</v>
      </c>
      <c r="E50" s="26" t="s">
        <v>65</v>
      </c>
      <c r="F50" s="50" t="s">
        <v>133</v>
      </c>
      <c r="G50" s="122" t="s">
        <v>122</v>
      </c>
      <c r="H50" s="124"/>
      <c r="I50" s="57">
        <v>0.27463784270012226</v>
      </c>
      <c r="J50" s="57">
        <v>3.8419604366468435E-2</v>
      </c>
      <c r="K50" s="85" t="s">
        <v>20</v>
      </c>
      <c r="L50" s="128"/>
      <c r="M50" s="109">
        <v>57</v>
      </c>
      <c r="N50" s="49"/>
      <c r="O50" s="10">
        <v>-1.6333180676020422</v>
      </c>
      <c r="P50" s="96">
        <v>1.074847869081005</v>
      </c>
      <c r="Q50" s="63">
        <v>0.13500000000000001</v>
      </c>
      <c r="R50" s="128"/>
      <c r="S50" s="24">
        <v>0.88575777386839127</v>
      </c>
      <c r="T50" s="24">
        <v>3.6405755168877403E-2</v>
      </c>
      <c r="U50" s="56">
        <v>2.4E-2</v>
      </c>
      <c r="V50" s="63"/>
      <c r="W50" s="114">
        <v>40</v>
      </c>
      <c r="X50" s="130">
        <f t="shared" si="1"/>
        <v>0.70175438596491224</v>
      </c>
      <c r="Y50" s="48">
        <v>1.1385822091035487</v>
      </c>
      <c r="Z50" s="24">
        <v>5.3858578138623492E-2</v>
      </c>
      <c r="AA50" s="85">
        <v>8.9999999999999993E-3</v>
      </c>
      <c r="AB50" s="51"/>
      <c r="AC50" s="113">
        <v>49</v>
      </c>
      <c r="AD50" s="12"/>
    </row>
    <row r="51" spans="1:30" s="1" customFormat="1" x14ac:dyDescent="0.2">
      <c r="A51" s="87">
        <v>281</v>
      </c>
      <c r="B51" s="2" t="s">
        <v>53</v>
      </c>
      <c r="C51" s="2" t="s">
        <v>36</v>
      </c>
      <c r="D51" s="54" t="s">
        <v>78</v>
      </c>
      <c r="E51" s="26" t="s">
        <v>65</v>
      </c>
      <c r="F51" s="50" t="s">
        <v>133</v>
      </c>
      <c r="G51" s="9"/>
      <c r="H51" s="124"/>
      <c r="I51" s="55">
        <v>0.61086218221342303</v>
      </c>
      <c r="J51" s="57">
        <v>7.9426400626144061E-2</v>
      </c>
      <c r="K51" s="84">
        <v>1E-3</v>
      </c>
      <c r="L51" s="128"/>
      <c r="M51" s="110">
        <v>53</v>
      </c>
      <c r="N51" s="49"/>
      <c r="O51" s="10">
        <v>-0.85971227822580887</v>
      </c>
      <c r="P51" s="96">
        <v>0.97820823767116727</v>
      </c>
      <c r="Q51" s="63">
        <v>0.122</v>
      </c>
      <c r="R51" s="128"/>
      <c r="S51" s="24">
        <v>0.92377128830949207</v>
      </c>
      <c r="T51" s="24">
        <v>4.7758298379486988E-2</v>
      </c>
      <c r="U51" s="56">
        <v>0.13400000000000001</v>
      </c>
      <c r="V51" s="63"/>
      <c r="W51" s="114">
        <v>40</v>
      </c>
      <c r="X51" s="130">
        <f t="shared" si="1"/>
        <v>0.75471698113207553</v>
      </c>
      <c r="Y51" s="48">
        <v>1.0673293053995039</v>
      </c>
      <c r="Z51" s="24">
        <v>3.6496466409574491E-2</v>
      </c>
      <c r="AA51" s="56">
        <v>7.9000000000000001E-2</v>
      </c>
      <c r="AB51" s="51"/>
      <c r="AC51" s="113">
        <v>42</v>
      </c>
      <c r="AD51" s="12"/>
    </row>
    <row r="52" spans="1:30" s="1" customFormat="1" x14ac:dyDescent="0.2">
      <c r="A52" s="87">
        <v>282</v>
      </c>
      <c r="B52" s="2" t="s">
        <v>39</v>
      </c>
      <c r="C52" s="2" t="s">
        <v>29</v>
      </c>
      <c r="D52" s="54" t="s">
        <v>79</v>
      </c>
      <c r="E52" s="26" t="s">
        <v>65</v>
      </c>
      <c r="F52" s="50" t="s">
        <v>133</v>
      </c>
      <c r="G52" s="50"/>
      <c r="H52" s="124"/>
      <c r="I52" s="55">
        <v>0.49025342218596152</v>
      </c>
      <c r="J52" s="55">
        <v>6.4455277028533431E-2</v>
      </c>
      <c r="K52" s="85" t="s">
        <v>20</v>
      </c>
      <c r="L52" s="128"/>
      <c r="M52" s="110">
        <v>61</v>
      </c>
      <c r="N52" s="49"/>
      <c r="O52" s="24">
        <v>-2.6174387784090887</v>
      </c>
      <c r="P52" s="59">
        <v>0.56548599248820841</v>
      </c>
      <c r="Q52" s="58">
        <v>8.0000000000000002E-3</v>
      </c>
      <c r="R52" s="128"/>
      <c r="S52" s="24">
        <v>0.83826132099259876</v>
      </c>
      <c r="T52" s="24">
        <v>3.1113502186092153E-2</v>
      </c>
      <c r="U52" s="85">
        <v>3.0000000000000001E-3</v>
      </c>
      <c r="V52" s="58"/>
      <c r="W52" s="113">
        <v>44</v>
      </c>
      <c r="X52" s="130">
        <f t="shared" si="1"/>
        <v>0.72131147540983609</v>
      </c>
      <c r="Y52" s="48">
        <v>1.354230329051421</v>
      </c>
      <c r="Z52" s="24">
        <v>7.044769014152491E-2</v>
      </c>
      <c r="AA52" s="85" t="s">
        <v>20</v>
      </c>
      <c r="AB52" s="51"/>
      <c r="AC52" s="113">
        <v>54</v>
      </c>
      <c r="AD52" s="12"/>
    </row>
    <row r="53" spans="1:30" s="1" customFormat="1" x14ac:dyDescent="0.2">
      <c r="A53" s="87">
        <v>282</v>
      </c>
      <c r="B53" s="2" t="s">
        <v>39</v>
      </c>
      <c r="C53" s="2" t="s">
        <v>46</v>
      </c>
      <c r="D53" s="54" t="s">
        <v>80</v>
      </c>
      <c r="E53" s="26" t="s">
        <v>65</v>
      </c>
      <c r="F53" s="50" t="s">
        <v>133</v>
      </c>
      <c r="G53" s="50"/>
      <c r="H53" s="124"/>
      <c r="I53" s="57">
        <v>0.35163849136649755</v>
      </c>
      <c r="J53" s="57">
        <v>5.4276957161233257E-2</v>
      </c>
      <c r="K53" s="85" t="s">
        <v>20</v>
      </c>
      <c r="L53" s="128"/>
      <c r="M53" s="110">
        <v>39</v>
      </c>
      <c r="N53" s="49"/>
      <c r="O53" s="24">
        <v>-0.97181535483870873</v>
      </c>
      <c r="P53" s="59">
        <v>1.2200445320899835</v>
      </c>
      <c r="Q53" s="58">
        <v>0.55100000000000005</v>
      </c>
      <c r="R53" s="128"/>
      <c r="S53" s="24">
        <v>0.81254554356818443</v>
      </c>
      <c r="T53" s="24">
        <v>4.8500286481124866E-2</v>
      </c>
      <c r="U53" s="85">
        <v>2E-3</v>
      </c>
      <c r="V53" s="58"/>
      <c r="W53" s="113">
        <v>25</v>
      </c>
      <c r="X53" s="130">
        <f t="shared" si="1"/>
        <v>0.64102564102564108</v>
      </c>
      <c r="Y53" s="48">
        <v>1.2520125231543882</v>
      </c>
      <c r="Z53" s="24">
        <v>7.3079019302072029E-2</v>
      </c>
      <c r="AA53" s="85">
        <v>3.0000000000000001E-3</v>
      </c>
      <c r="AB53" s="51"/>
      <c r="AC53" s="113">
        <v>32</v>
      </c>
      <c r="AD53" s="12"/>
    </row>
    <row r="54" spans="1:30" s="1" customFormat="1" x14ac:dyDescent="0.2">
      <c r="A54" s="87">
        <v>284</v>
      </c>
      <c r="B54" s="2" t="s">
        <v>55</v>
      </c>
      <c r="C54" s="2" t="s">
        <v>44</v>
      </c>
      <c r="D54" s="54" t="s">
        <v>81</v>
      </c>
      <c r="E54" s="26" t="s">
        <v>65</v>
      </c>
      <c r="F54" s="50" t="s">
        <v>3</v>
      </c>
      <c r="G54" s="132" t="s">
        <v>122</v>
      </c>
      <c r="H54" s="124"/>
      <c r="I54" s="57">
        <v>0.92755558403123595</v>
      </c>
      <c r="J54" s="57">
        <v>0.12052195807404334</v>
      </c>
      <c r="K54" s="56">
        <v>0.34100000000000003</v>
      </c>
      <c r="L54" s="128"/>
      <c r="M54" s="109">
        <v>42</v>
      </c>
      <c r="N54" s="49"/>
      <c r="O54" s="24">
        <v>8.8311599176379221E-2</v>
      </c>
      <c r="P54" s="59">
        <v>0.73716278850761263</v>
      </c>
      <c r="Q54" s="58">
        <v>0.92400000000000004</v>
      </c>
      <c r="R54" s="128"/>
      <c r="S54" s="24">
        <v>0.93386885293549204</v>
      </c>
      <c r="T54" s="24">
        <v>4.4836017926809468E-2</v>
      </c>
      <c r="U54" s="56">
        <v>0.27300000000000002</v>
      </c>
      <c r="V54" s="58"/>
      <c r="W54" s="113">
        <v>31</v>
      </c>
      <c r="X54" s="130">
        <f t="shared" si="1"/>
        <v>0.73809523809523814</v>
      </c>
      <c r="Y54" s="48">
        <v>0.98746261946038938</v>
      </c>
      <c r="Z54" s="24">
        <v>5.0048887116416939E-2</v>
      </c>
      <c r="AA54" s="56">
        <v>0.376</v>
      </c>
      <c r="AB54" s="51"/>
      <c r="AC54" s="113">
        <v>34</v>
      </c>
      <c r="AD54" s="12"/>
    </row>
    <row r="55" spans="1:30" s="1" customFormat="1" x14ac:dyDescent="0.2">
      <c r="A55" s="87">
        <v>284</v>
      </c>
      <c r="B55" s="2" t="s">
        <v>55</v>
      </c>
      <c r="C55" s="2" t="s">
        <v>39</v>
      </c>
      <c r="D55" s="54" t="s">
        <v>82</v>
      </c>
      <c r="E55" s="26" t="s">
        <v>65</v>
      </c>
      <c r="F55" s="50" t="s">
        <v>133</v>
      </c>
      <c r="G55" s="50"/>
      <c r="H55" s="124"/>
      <c r="I55" s="55">
        <v>0.32085203683084967</v>
      </c>
      <c r="J55" s="55">
        <v>4.6218970124404332E-2</v>
      </c>
      <c r="K55" s="85" t="s">
        <v>20</v>
      </c>
      <c r="L55" s="128"/>
      <c r="M55" s="110">
        <v>60</v>
      </c>
      <c r="N55" s="49"/>
      <c r="O55" s="24">
        <v>3.2835438461538518</v>
      </c>
      <c r="P55" s="59">
        <v>1.1421524389705209</v>
      </c>
      <c r="Q55" s="58">
        <v>8.7999999999999995E-2</v>
      </c>
      <c r="R55" s="128"/>
      <c r="S55" s="24">
        <v>0.8034220291040377</v>
      </c>
      <c r="T55" s="24">
        <v>4.9777274006181794E-2</v>
      </c>
      <c r="U55" s="85">
        <v>4.0000000000000001E-3</v>
      </c>
      <c r="V55" s="63"/>
      <c r="W55" s="113">
        <v>52</v>
      </c>
      <c r="X55" s="130">
        <f t="shared" si="1"/>
        <v>0.8666666666666667</v>
      </c>
      <c r="Y55" s="48">
        <v>0.98991914121282953</v>
      </c>
      <c r="Z55" s="24">
        <v>3.8115157364905013E-2</v>
      </c>
      <c r="AA55" s="63">
        <v>0.88900000000000001</v>
      </c>
      <c r="AB55" s="51"/>
      <c r="AC55" s="113">
        <v>44</v>
      </c>
      <c r="AD55" s="12"/>
    </row>
    <row r="56" spans="1:30" s="1" customFormat="1" x14ac:dyDescent="0.2">
      <c r="A56" s="87">
        <v>284</v>
      </c>
      <c r="B56" s="2" t="s">
        <v>55</v>
      </c>
      <c r="C56" s="2" t="s">
        <v>46</v>
      </c>
      <c r="D56" s="54" t="s">
        <v>83</v>
      </c>
      <c r="E56" s="26" t="s">
        <v>65</v>
      </c>
      <c r="F56" s="50" t="s">
        <v>133</v>
      </c>
      <c r="G56" s="50"/>
      <c r="H56" s="124"/>
      <c r="I56" s="55">
        <v>0.57922454951290614</v>
      </c>
      <c r="J56" s="55">
        <v>7.3229616546930207E-2</v>
      </c>
      <c r="K56" s="85">
        <v>3.0000000000000001E-3</v>
      </c>
      <c r="L56" s="128"/>
      <c r="M56" s="110">
        <v>70</v>
      </c>
      <c r="N56" s="49"/>
      <c r="O56" s="24">
        <v>-3.8485914215686252</v>
      </c>
      <c r="P56" s="24">
        <v>0.66768438284744613</v>
      </c>
      <c r="Q56" s="85" t="s">
        <v>20</v>
      </c>
      <c r="R56" s="128"/>
      <c r="S56" s="24">
        <v>0.84551668538193525</v>
      </c>
      <c r="T56" s="24">
        <v>2.5018077483883166E-2</v>
      </c>
      <c r="U56" s="85">
        <v>3.0000000000000001E-3</v>
      </c>
      <c r="V56" s="56"/>
      <c r="W56" s="113">
        <v>51</v>
      </c>
      <c r="X56" s="130">
        <f t="shared" si="1"/>
        <v>0.72857142857142854</v>
      </c>
      <c r="Y56" s="48">
        <v>1.2277797668104633</v>
      </c>
      <c r="Z56" s="24">
        <v>6.9175188906281743E-2</v>
      </c>
      <c r="AA56" s="85">
        <v>6.0000000000000001E-3</v>
      </c>
      <c r="AB56" s="51"/>
      <c r="AC56" s="113">
        <v>59</v>
      </c>
      <c r="AD56" s="12"/>
    </row>
    <row r="57" spans="1:30" s="1" customFormat="1" x14ac:dyDescent="0.2">
      <c r="A57" s="87">
        <v>284</v>
      </c>
      <c r="B57" s="2" t="s">
        <v>55</v>
      </c>
      <c r="C57" s="2" t="s">
        <v>84</v>
      </c>
      <c r="D57" s="54" t="s">
        <v>85</v>
      </c>
      <c r="E57" s="26" t="s">
        <v>65</v>
      </c>
      <c r="F57" s="50" t="s">
        <v>133</v>
      </c>
      <c r="G57" s="50"/>
      <c r="H57" s="124"/>
      <c r="I57" s="55">
        <v>0.45380441126853244</v>
      </c>
      <c r="J57" s="55">
        <v>6.7960825464536745E-2</v>
      </c>
      <c r="K57" s="86" t="s">
        <v>20</v>
      </c>
      <c r="L57" s="128"/>
      <c r="M57" s="110">
        <v>64</v>
      </c>
      <c r="N57" s="49"/>
      <c r="O57" s="24">
        <v>-2.4765569137931034</v>
      </c>
      <c r="P57" s="59">
        <v>1.1509317377851325</v>
      </c>
      <c r="Q57" s="46">
        <v>8.1000000000000003E-2</v>
      </c>
      <c r="R57" s="128"/>
      <c r="S57" s="24">
        <v>0.85224138429369223</v>
      </c>
      <c r="T57" s="24">
        <v>3.9736495833852137E-2</v>
      </c>
      <c r="U57" s="85">
        <v>8.9999999999999993E-3</v>
      </c>
      <c r="V57" s="63"/>
      <c r="W57" s="113">
        <v>50</v>
      </c>
      <c r="X57" s="130">
        <f t="shared" si="1"/>
        <v>0.78125</v>
      </c>
      <c r="Y57" s="48">
        <v>1.0292669719183594</v>
      </c>
      <c r="Z57" s="24">
        <v>4.0085545596531935E-2</v>
      </c>
      <c r="AA57" s="63">
        <v>0.94199999999999995</v>
      </c>
      <c r="AB57" s="51"/>
      <c r="AC57" s="113">
        <v>45</v>
      </c>
      <c r="AD57" s="12"/>
    </row>
    <row r="58" spans="1:30" s="1" customFormat="1" x14ac:dyDescent="0.2">
      <c r="A58" s="87">
        <v>291</v>
      </c>
      <c r="B58" s="2" t="s">
        <v>33</v>
      </c>
      <c r="C58" s="2" t="s">
        <v>53</v>
      </c>
      <c r="D58" s="54" t="s">
        <v>86</v>
      </c>
      <c r="E58" s="26" t="s">
        <v>65</v>
      </c>
      <c r="F58" s="50" t="s">
        <v>133</v>
      </c>
      <c r="G58" s="50"/>
      <c r="H58" s="124"/>
      <c r="I58" s="55">
        <v>0.32169180146554222</v>
      </c>
      <c r="J58" s="55">
        <v>4.8739014650552186E-2</v>
      </c>
      <c r="K58" s="85" t="s">
        <v>20</v>
      </c>
      <c r="L58" s="128"/>
      <c r="M58" s="111">
        <v>42</v>
      </c>
      <c r="N58" s="49"/>
      <c r="O58" s="24">
        <v>5.3048774509803893</v>
      </c>
      <c r="P58" s="24">
        <v>1.515904143458884</v>
      </c>
      <c r="Q58" s="85" t="s">
        <v>20</v>
      </c>
      <c r="R58" s="128"/>
      <c r="S58" s="24">
        <v>0.84044069545112976</v>
      </c>
      <c r="T58" s="24">
        <v>4.2208177140743826E-2</v>
      </c>
      <c r="U58" s="56">
        <v>0.04</v>
      </c>
      <c r="V58" s="56"/>
      <c r="W58" s="113">
        <v>34</v>
      </c>
      <c r="X58" s="130">
        <f t="shared" si="1"/>
        <v>0.80952380952380953</v>
      </c>
      <c r="Y58" s="48">
        <v>1.0800518349387502</v>
      </c>
      <c r="Z58" s="24">
        <v>4.0057023200952793E-2</v>
      </c>
      <c r="AA58" s="56">
        <v>0.112</v>
      </c>
      <c r="AB58" s="51"/>
      <c r="AC58" s="113">
        <v>40</v>
      </c>
      <c r="AD58" s="12"/>
    </row>
    <row r="59" spans="1:30" s="1" customFormat="1" x14ac:dyDescent="0.2">
      <c r="A59" s="87">
        <v>292.5</v>
      </c>
      <c r="B59" s="2" t="s">
        <v>88</v>
      </c>
      <c r="C59" s="2" t="s">
        <v>89</v>
      </c>
      <c r="D59" s="54" t="s">
        <v>90</v>
      </c>
      <c r="E59" s="26" t="s">
        <v>87</v>
      </c>
      <c r="F59" s="50" t="s">
        <v>133</v>
      </c>
      <c r="G59" s="50"/>
      <c r="H59" s="124"/>
      <c r="I59" s="55">
        <v>0.43493435133857844</v>
      </c>
      <c r="J59" s="55">
        <v>5.8798284937602148E-2</v>
      </c>
      <c r="K59" s="85" t="s">
        <v>20</v>
      </c>
      <c r="L59" s="128"/>
      <c r="M59" s="110">
        <v>55</v>
      </c>
      <c r="N59" s="49"/>
      <c r="O59" s="24">
        <v>0.66726992919389883</v>
      </c>
      <c r="P59" s="24">
        <v>1.1456130211814903</v>
      </c>
      <c r="Q59" s="56">
        <v>0.107</v>
      </c>
      <c r="R59" s="128"/>
      <c r="S59" s="24">
        <v>0.89430239094050179</v>
      </c>
      <c r="T59" s="24">
        <v>4.126571130020782E-2</v>
      </c>
      <c r="U59" s="56">
        <v>4.7E-2</v>
      </c>
      <c r="V59" s="56"/>
      <c r="W59" s="113">
        <v>34</v>
      </c>
      <c r="X59" s="130">
        <f t="shared" si="1"/>
        <v>0.61818181818181817</v>
      </c>
      <c r="Y59" s="48">
        <v>0.98733203427161409</v>
      </c>
      <c r="Z59" s="24">
        <v>4.6505161390171593E-2</v>
      </c>
      <c r="AA59" s="56">
        <v>7.8E-2</v>
      </c>
      <c r="AB59" s="51"/>
      <c r="AC59" s="113">
        <v>40</v>
      </c>
      <c r="AD59" s="12"/>
    </row>
    <row r="60" spans="1:30" s="1" customFormat="1" x14ac:dyDescent="0.2">
      <c r="A60" s="87">
        <v>294</v>
      </c>
      <c r="B60" s="2" t="s">
        <v>15</v>
      </c>
      <c r="C60" s="2" t="s">
        <v>53</v>
      </c>
      <c r="D60" s="54" t="s">
        <v>91</v>
      </c>
      <c r="E60" s="26" t="s">
        <v>87</v>
      </c>
      <c r="F60" s="50" t="s">
        <v>3</v>
      </c>
      <c r="G60" s="132" t="s">
        <v>122</v>
      </c>
      <c r="H60" s="124"/>
      <c r="I60" s="55">
        <v>0.48604999525035025</v>
      </c>
      <c r="J60" s="57">
        <v>9.0448775536277962E-2</v>
      </c>
      <c r="K60" s="84">
        <v>1E-3</v>
      </c>
      <c r="L60" s="128"/>
      <c r="M60" s="110">
        <v>32</v>
      </c>
      <c r="N60" s="49"/>
      <c r="O60" s="24">
        <v>-4.2538571906354523</v>
      </c>
      <c r="P60" s="59">
        <v>0.90672139572502863</v>
      </c>
      <c r="Q60" s="84">
        <v>8.9999999999999993E-3</v>
      </c>
      <c r="R60" s="128"/>
      <c r="S60" s="24">
        <v>0.91208140634013402</v>
      </c>
      <c r="T60" s="24">
        <v>3.676824327840382E-2</v>
      </c>
      <c r="U60" s="56">
        <v>0.128</v>
      </c>
      <c r="V60" s="58"/>
      <c r="W60" s="113">
        <v>23</v>
      </c>
      <c r="X60" s="130">
        <f t="shared" si="1"/>
        <v>0.71875</v>
      </c>
      <c r="Y60" s="48">
        <v>1.1986467973505572</v>
      </c>
      <c r="Z60" s="24">
        <v>4.8919948899232166E-2</v>
      </c>
      <c r="AA60" s="85">
        <v>6.0000000000000001E-3</v>
      </c>
      <c r="AB60" s="51"/>
      <c r="AC60" s="113">
        <v>26</v>
      </c>
      <c r="AD60" s="12"/>
    </row>
    <row r="61" spans="1:30" s="1" customFormat="1" x14ac:dyDescent="0.2">
      <c r="A61" s="87">
        <v>294</v>
      </c>
      <c r="B61" s="2" t="s">
        <v>15</v>
      </c>
      <c r="C61" s="2" t="s">
        <v>16</v>
      </c>
      <c r="D61" s="54" t="s">
        <v>92</v>
      </c>
      <c r="E61" s="26" t="s">
        <v>87</v>
      </c>
      <c r="F61" s="50" t="s">
        <v>133</v>
      </c>
      <c r="G61" s="132" t="s">
        <v>122</v>
      </c>
      <c r="H61" s="124"/>
      <c r="I61" s="55">
        <v>0.42444064454404401</v>
      </c>
      <c r="J61" s="57">
        <v>2.7354915643114049E-2</v>
      </c>
      <c r="K61" s="85" t="s">
        <v>20</v>
      </c>
      <c r="L61" s="128"/>
      <c r="M61" s="110">
        <v>297</v>
      </c>
      <c r="N61" s="49"/>
      <c r="O61" s="24">
        <v>-0.40059594741298149</v>
      </c>
      <c r="P61" s="59">
        <v>0.42976967583215897</v>
      </c>
      <c r="Q61" s="58">
        <v>0.187</v>
      </c>
      <c r="R61" s="128"/>
      <c r="S61" s="24">
        <v>0.89022189498800264</v>
      </c>
      <c r="T61" s="24">
        <v>1.5821046819796056E-2</v>
      </c>
      <c r="U61" s="85" t="s">
        <v>20</v>
      </c>
      <c r="V61" s="62"/>
      <c r="W61" s="113">
        <v>220</v>
      </c>
      <c r="X61" s="130">
        <f t="shared" si="1"/>
        <v>0.7407407407407407</v>
      </c>
      <c r="Y61" s="48">
        <v>1.0330935775192081</v>
      </c>
      <c r="Z61" s="24">
        <v>1.7031684903447541E-2</v>
      </c>
      <c r="AA61" s="56">
        <v>0.222</v>
      </c>
      <c r="AB61" s="51"/>
      <c r="AC61" s="113">
        <v>235</v>
      </c>
      <c r="AD61" s="12"/>
    </row>
    <row r="62" spans="1:30" s="1" customFormat="1" ht="13.5" customHeight="1" x14ac:dyDescent="0.2">
      <c r="A62" s="87">
        <v>305</v>
      </c>
      <c r="B62" s="2" t="s">
        <v>22</v>
      </c>
      <c r="C62" s="2" t="s">
        <v>93</v>
      </c>
      <c r="D62" s="54" t="s">
        <v>94</v>
      </c>
      <c r="E62" s="26" t="s">
        <v>87</v>
      </c>
      <c r="F62" s="50" t="s">
        <v>133</v>
      </c>
      <c r="G62" s="50"/>
      <c r="H62" s="124"/>
      <c r="I62" s="55">
        <v>0.39167289566991609</v>
      </c>
      <c r="J62" s="55">
        <v>4.8087533653425683E-2</v>
      </c>
      <c r="K62" s="85" t="s">
        <v>20</v>
      </c>
      <c r="L62" s="128"/>
      <c r="M62" s="110">
        <v>78</v>
      </c>
      <c r="N62" s="49"/>
      <c r="O62" s="24">
        <v>-1.8950850801749286</v>
      </c>
      <c r="P62" s="24">
        <v>0.767934894220209</v>
      </c>
      <c r="Q62" s="56">
        <v>0.13500000000000001</v>
      </c>
      <c r="R62" s="128"/>
      <c r="S62" s="24">
        <v>0.88583761576140541</v>
      </c>
      <c r="T62" s="24">
        <v>3.4875518909906804E-2</v>
      </c>
      <c r="U62" s="56">
        <v>3.2000000000000001E-2</v>
      </c>
      <c r="V62" s="56"/>
      <c r="W62" s="113">
        <v>49</v>
      </c>
      <c r="X62" s="130">
        <f t="shared" si="1"/>
        <v>0.62820512820512819</v>
      </c>
      <c r="Y62" s="48">
        <v>1.0764426143155663</v>
      </c>
      <c r="Z62" s="24">
        <v>3.5492436576638829E-2</v>
      </c>
      <c r="AA62" s="56">
        <v>8.1000000000000003E-2</v>
      </c>
      <c r="AB62" s="51"/>
      <c r="AC62" s="113">
        <v>61</v>
      </c>
      <c r="AD62" s="12"/>
    </row>
    <row r="63" spans="1:30" s="1" customFormat="1" x14ac:dyDescent="0.2">
      <c r="A63" s="87">
        <v>306</v>
      </c>
      <c r="B63" s="2" t="s">
        <v>15</v>
      </c>
      <c r="C63" s="2" t="s">
        <v>18</v>
      </c>
      <c r="D63" s="54" t="s">
        <v>95</v>
      </c>
      <c r="E63" s="26" t="s">
        <v>87</v>
      </c>
      <c r="F63" s="50" t="s">
        <v>133</v>
      </c>
      <c r="G63" s="50"/>
      <c r="H63" s="124"/>
      <c r="I63" s="55">
        <v>0.28840638958599996</v>
      </c>
      <c r="J63" s="55">
        <v>7.0299551494595283E-2</v>
      </c>
      <c r="K63" s="86" t="s">
        <v>20</v>
      </c>
      <c r="L63" s="128"/>
      <c r="M63" s="110">
        <v>46</v>
      </c>
      <c r="N63" s="49"/>
      <c r="O63" s="24">
        <v>-7.0956238275955519</v>
      </c>
      <c r="P63" s="24">
        <v>0.81267566019398974</v>
      </c>
      <c r="Q63" s="86" t="s">
        <v>20</v>
      </c>
      <c r="R63" s="128"/>
      <c r="S63" s="24">
        <v>0.82048037820554798</v>
      </c>
      <c r="T63" s="24">
        <v>5.0938101059502909E-2</v>
      </c>
      <c r="U63" s="85">
        <v>7.0000000000000001E-3</v>
      </c>
      <c r="V63" s="56"/>
      <c r="W63" s="113">
        <v>28</v>
      </c>
      <c r="X63" s="130">
        <f t="shared" si="1"/>
        <v>0.60869565217391308</v>
      </c>
      <c r="Y63" s="48">
        <v>1.0696862562397547</v>
      </c>
      <c r="Z63" s="24">
        <v>6.4787816663148048E-2</v>
      </c>
      <c r="AA63" s="56">
        <v>0.30399999999999999</v>
      </c>
      <c r="AB63" s="51"/>
      <c r="AC63" s="113">
        <v>23</v>
      </c>
      <c r="AD63" s="12"/>
    </row>
    <row r="64" spans="1:30" s="1" customFormat="1" x14ac:dyDescent="0.2">
      <c r="A64" s="87">
        <v>306</v>
      </c>
      <c r="B64" s="2" t="s">
        <v>15</v>
      </c>
      <c r="C64" s="2" t="s">
        <v>66</v>
      </c>
      <c r="D64" s="54" t="s">
        <v>96</v>
      </c>
      <c r="E64" s="26" t="s">
        <v>87</v>
      </c>
      <c r="F64" s="50" t="s">
        <v>3</v>
      </c>
      <c r="G64" s="126" t="s">
        <v>122</v>
      </c>
      <c r="H64" s="124"/>
      <c r="I64" s="57">
        <v>0.69952270487944168</v>
      </c>
      <c r="J64" s="57">
        <v>0.1237740006846756</v>
      </c>
      <c r="K64" s="58">
        <v>0.34100000000000003</v>
      </c>
      <c r="L64" s="128"/>
      <c r="M64" s="110">
        <v>37</v>
      </c>
      <c r="N64" s="49"/>
      <c r="O64" s="24">
        <v>5.6386341798215414</v>
      </c>
      <c r="P64" s="59">
        <v>0.86871628153321867</v>
      </c>
      <c r="Q64" s="85" t="s">
        <v>20</v>
      </c>
      <c r="R64" s="128"/>
      <c r="S64" s="24">
        <v>0.9731093359269174</v>
      </c>
      <c r="T64" s="24">
        <v>5.2922539584579063E-2</v>
      </c>
      <c r="U64" s="56">
        <v>0.27300000000000002</v>
      </c>
      <c r="V64" s="58"/>
      <c r="W64" s="113">
        <v>31</v>
      </c>
      <c r="X64" s="130">
        <f t="shared" si="1"/>
        <v>0.83783783783783783</v>
      </c>
      <c r="Y64" s="48">
        <v>0.98835700862656262</v>
      </c>
      <c r="Z64" s="24">
        <v>7.1326140922439205E-2</v>
      </c>
      <c r="AA64" s="56">
        <v>0.376</v>
      </c>
      <c r="AB64" s="51"/>
      <c r="AC64" s="113">
        <v>34</v>
      </c>
      <c r="AD64" s="12"/>
    </row>
    <row r="65" spans="1:30" s="1" customFormat="1" x14ac:dyDescent="0.2">
      <c r="A65" s="87">
        <v>306</v>
      </c>
      <c r="B65" s="2" t="s">
        <v>15</v>
      </c>
      <c r="C65" s="2" t="s">
        <v>16</v>
      </c>
      <c r="D65" s="54" t="s">
        <v>97</v>
      </c>
      <c r="E65" s="26" t="s">
        <v>87</v>
      </c>
      <c r="F65" s="50" t="s">
        <v>133</v>
      </c>
      <c r="G65" s="50"/>
      <c r="H65" s="124"/>
      <c r="I65" s="55">
        <v>0.44669447352211145</v>
      </c>
      <c r="J65" s="55">
        <v>5.0321501853987559E-2</v>
      </c>
      <c r="K65" s="86" t="s">
        <v>20</v>
      </c>
      <c r="L65" s="128"/>
      <c r="M65" s="110">
        <v>72</v>
      </c>
      <c r="N65" s="49"/>
      <c r="O65" s="24">
        <v>-1.3654313466111778</v>
      </c>
      <c r="P65" s="24">
        <v>0.64602652505590763</v>
      </c>
      <c r="Q65" s="11">
        <v>0.33200000000000002</v>
      </c>
      <c r="R65" s="128"/>
      <c r="S65" s="24">
        <v>0.90871633725474033</v>
      </c>
      <c r="T65" s="24">
        <v>3.0905019710188077E-2</v>
      </c>
      <c r="U65" s="56">
        <v>0.105</v>
      </c>
      <c r="V65" s="62"/>
      <c r="W65" s="113">
        <v>58</v>
      </c>
      <c r="X65" s="130">
        <f t="shared" si="1"/>
        <v>0.80555555555555558</v>
      </c>
      <c r="Y65" s="48">
        <v>1.0177510908586287</v>
      </c>
      <c r="Z65" s="24">
        <v>3.3696886814500976E-2</v>
      </c>
      <c r="AA65" s="63">
        <v>0.91700000000000004</v>
      </c>
      <c r="AB65" s="51"/>
      <c r="AC65" s="113">
        <v>62</v>
      </c>
      <c r="AD65" s="12"/>
    </row>
    <row r="66" spans="1:30" s="1" customFormat="1" x14ac:dyDescent="0.2">
      <c r="A66" s="87">
        <v>333</v>
      </c>
      <c r="B66" s="2" t="s">
        <v>33</v>
      </c>
      <c r="C66" s="2" t="s">
        <v>34</v>
      </c>
      <c r="D66" s="54" t="s">
        <v>99</v>
      </c>
      <c r="E66" s="26" t="s">
        <v>98</v>
      </c>
      <c r="F66" s="50" t="s">
        <v>3</v>
      </c>
      <c r="G66" s="132" t="s">
        <v>122</v>
      </c>
      <c r="H66" s="124"/>
      <c r="I66" s="57">
        <v>0.73821029755395928</v>
      </c>
      <c r="J66" s="57">
        <v>7.9949763463588661E-2</v>
      </c>
      <c r="K66" s="58">
        <v>6.7000000000000004E-2</v>
      </c>
      <c r="L66" s="128"/>
      <c r="M66" s="110">
        <v>41</v>
      </c>
      <c r="N66" s="49"/>
      <c r="O66" s="24">
        <v>-0.20625356125356106</v>
      </c>
      <c r="P66" s="59">
        <v>0.69902184392801503</v>
      </c>
      <c r="Q66" s="58">
        <v>0.9</v>
      </c>
      <c r="R66" s="128"/>
      <c r="S66" s="24">
        <v>1.1161199032827553</v>
      </c>
      <c r="T66" s="24">
        <v>5.0367272951597056E-2</v>
      </c>
      <c r="U66" s="56">
        <v>0.182</v>
      </c>
      <c r="V66" s="58"/>
      <c r="W66" s="113">
        <v>39</v>
      </c>
      <c r="X66" s="130">
        <f t="shared" si="1"/>
        <v>0.95121951219512191</v>
      </c>
      <c r="Y66" s="48">
        <v>0.94718939340287589</v>
      </c>
      <c r="Z66" s="24">
        <v>3.2114414225231029E-2</v>
      </c>
      <c r="AA66" s="56">
        <v>0.48399999999999999</v>
      </c>
      <c r="AB66" s="51"/>
      <c r="AC66" s="113">
        <v>39</v>
      </c>
      <c r="AD66" s="12"/>
    </row>
    <row r="67" spans="1:30" s="1" customFormat="1" x14ac:dyDescent="0.2">
      <c r="A67" s="87">
        <v>333</v>
      </c>
      <c r="B67" s="2" t="s">
        <v>33</v>
      </c>
      <c r="C67" s="2" t="s">
        <v>36</v>
      </c>
      <c r="D67" s="54" t="s">
        <v>100</v>
      </c>
      <c r="E67" s="26" t="s">
        <v>98</v>
      </c>
      <c r="F67" s="50" t="s">
        <v>133</v>
      </c>
      <c r="G67" s="50"/>
      <c r="H67" s="124"/>
      <c r="I67" s="55">
        <v>0.8801977478204035</v>
      </c>
      <c r="J67" s="55">
        <v>0.10201675692069019</v>
      </c>
      <c r="K67" s="56">
        <v>0.35099999999999998</v>
      </c>
      <c r="L67" s="128"/>
      <c r="M67" s="111">
        <v>74</v>
      </c>
      <c r="N67" s="49"/>
      <c r="O67" s="24">
        <v>-1.6212846491228057</v>
      </c>
      <c r="P67" s="24">
        <v>0.67401506597496386</v>
      </c>
      <c r="Q67" s="56">
        <v>5.5E-2</v>
      </c>
      <c r="R67" s="128"/>
      <c r="S67" s="24">
        <v>0.94528743133735782</v>
      </c>
      <c r="T67" s="24">
        <v>3.2751648012526856E-2</v>
      </c>
      <c r="U67" s="56">
        <v>0.27100000000000002</v>
      </c>
      <c r="V67" s="56"/>
      <c r="W67" s="113">
        <v>57</v>
      </c>
      <c r="X67" s="130">
        <f t="shared" si="1"/>
        <v>0.77027027027027029</v>
      </c>
      <c r="Y67" s="48">
        <v>1.0417665674774692</v>
      </c>
      <c r="Z67" s="24">
        <v>3.791497991440862E-2</v>
      </c>
      <c r="AA67" s="56">
        <v>0.59799999999999998</v>
      </c>
      <c r="AB67" s="51"/>
      <c r="AC67" s="113">
        <v>62</v>
      </c>
      <c r="AD67" s="12"/>
    </row>
    <row r="68" spans="1:30" s="1" customFormat="1" x14ac:dyDescent="0.2">
      <c r="A68" s="87">
        <v>335</v>
      </c>
      <c r="B68" s="2" t="s">
        <v>18</v>
      </c>
      <c r="C68" s="2" t="s">
        <v>17</v>
      </c>
      <c r="D68" s="54" t="s">
        <v>101</v>
      </c>
      <c r="E68" s="26" t="s">
        <v>98</v>
      </c>
      <c r="F68" s="50" t="s">
        <v>133</v>
      </c>
      <c r="G68" s="50"/>
      <c r="H68" s="124"/>
      <c r="I68" s="55">
        <v>0.81692395687468633</v>
      </c>
      <c r="J68" s="55">
        <v>0.22377658571421585</v>
      </c>
      <c r="K68" s="56">
        <v>0.34100000000000003</v>
      </c>
      <c r="L68" s="128"/>
      <c r="M68" s="111">
        <v>19</v>
      </c>
      <c r="N68" s="49"/>
      <c r="O68" s="24">
        <v>-6.3604787234042659</v>
      </c>
      <c r="P68" s="24">
        <v>0.72605756199721116</v>
      </c>
      <c r="Q68" s="85" t="s">
        <v>20</v>
      </c>
      <c r="R68" s="128"/>
      <c r="S68" s="24">
        <v>1.0904625103381498</v>
      </c>
      <c r="T68" s="24">
        <v>5.7191334350139324E-2</v>
      </c>
      <c r="U68" s="56">
        <v>0.27300000000000002</v>
      </c>
      <c r="V68" s="56"/>
      <c r="W68" s="113">
        <v>16</v>
      </c>
      <c r="X68" s="130">
        <f t="shared" si="1"/>
        <v>0.84210526315789469</v>
      </c>
      <c r="Y68" s="48">
        <v>0.82718106624064236</v>
      </c>
      <c r="Z68" s="24">
        <v>4.9152255817628894E-2</v>
      </c>
      <c r="AA68" s="56">
        <v>0.376</v>
      </c>
      <c r="AB68" s="51"/>
      <c r="AC68" s="113">
        <v>12</v>
      </c>
      <c r="AD68" s="12"/>
    </row>
    <row r="69" spans="1:30" s="1" customFormat="1" x14ac:dyDescent="0.2">
      <c r="A69" s="87">
        <v>375</v>
      </c>
      <c r="B69" s="2" t="s">
        <v>34</v>
      </c>
      <c r="C69" s="2" t="s">
        <v>29</v>
      </c>
      <c r="D69" s="54" t="s">
        <v>102</v>
      </c>
      <c r="E69" s="26" t="s">
        <v>98</v>
      </c>
      <c r="F69" s="50" t="s">
        <v>1</v>
      </c>
      <c r="G69" s="50"/>
      <c r="H69" s="124"/>
      <c r="I69" s="55">
        <v>0.81526610960435197</v>
      </c>
      <c r="J69" s="55">
        <v>8.5196266426228073E-2</v>
      </c>
      <c r="K69" s="56">
        <v>0.104</v>
      </c>
      <c r="L69" s="128"/>
      <c r="M69" s="110">
        <v>68</v>
      </c>
      <c r="N69" s="49"/>
      <c r="O69" s="24">
        <v>0.72755890464932849</v>
      </c>
      <c r="P69" s="24">
        <v>0.7347151150031167</v>
      </c>
      <c r="Q69" s="56">
        <v>0.107</v>
      </c>
      <c r="R69" s="128"/>
      <c r="S69" s="24">
        <v>0.99184661312658651</v>
      </c>
      <c r="T69" s="24">
        <v>3.1117035871779785E-2</v>
      </c>
      <c r="U69" s="56">
        <v>0.81799999999999995</v>
      </c>
      <c r="V69" s="56"/>
      <c r="W69" s="113">
        <v>47</v>
      </c>
      <c r="X69" s="130">
        <f t="shared" si="1"/>
        <v>0.69117647058823528</v>
      </c>
      <c r="Y69" s="48">
        <v>1.1127859812627223</v>
      </c>
      <c r="Z69" s="24">
        <v>4.7809782569100123E-2</v>
      </c>
      <c r="AA69" s="56">
        <v>7.8E-2</v>
      </c>
      <c r="AB69" s="51"/>
      <c r="AC69" s="113">
        <v>59</v>
      </c>
      <c r="AD69" s="12"/>
    </row>
    <row r="70" spans="1:30" s="1" customFormat="1" ht="13.5" customHeight="1" x14ac:dyDescent="0.2">
      <c r="A70" s="87">
        <v>410</v>
      </c>
      <c r="B70" s="2" t="s">
        <v>18</v>
      </c>
      <c r="C70" s="2" t="s">
        <v>103</v>
      </c>
      <c r="D70" s="54" t="s">
        <v>104</v>
      </c>
      <c r="E70" s="26" t="s">
        <v>98</v>
      </c>
      <c r="F70" s="50" t="s">
        <v>1</v>
      </c>
      <c r="G70" s="50"/>
      <c r="H70" s="124"/>
      <c r="I70" s="55">
        <v>0.82875364422362319</v>
      </c>
      <c r="J70" s="55">
        <v>0.11247085259823457</v>
      </c>
      <c r="K70" s="62">
        <v>0.16700000000000001</v>
      </c>
      <c r="L70" s="128"/>
      <c r="M70" s="110">
        <v>44</v>
      </c>
      <c r="N70" s="49"/>
      <c r="O70" s="24">
        <v>-8.0020242914982161E-3</v>
      </c>
      <c r="P70" s="59">
        <v>0.59703449264204089</v>
      </c>
      <c r="Q70" s="58">
        <v>0.99</v>
      </c>
      <c r="R70" s="128"/>
      <c r="S70" s="24">
        <v>0.93791863894255989</v>
      </c>
      <c r="T70" s="24">
        <v>2.6020735713593639E-2</v>
      </c>
      <c r="U70" s="56">
        <v>0.11600000000000001</v>
      </c>
      <c r="V70" s="58"/>
      <c r="W70" s="113">
        <v>39</v>
      </c>
      <c r="X70" s="130">
        <f t="shared" si="1"/>
        <v>0.88636363636363635</v>
      </c>
      <c r="Y70" s="48">
        <v>0.97853248062996723</v>
      </c>
      <c r="Z70" s="24">
        <v>5.7527785314121692E-2</v>
      </c>
      <c r="AA70" s="62">
        <v>0.38</v>
      </c>
      <c r="AB70" s="51"/>
      <c r="AC70" s="113">
        <v>42</v>
      </c>
      <c r="AD70" s="12"/>
    </row>
    <row r="71" spans="1:30" ht="13.5" customHeight="1" x14ac:dyDescent="0.2">
      <c r="A71" s="103">
        <v>502</v>
      </c>
      <c r="B71" s="2" t="s">
        <v>15</v>
      </c>
      <c r="C71" s="2" t="s">
        <v>16</v>
      </c>
      <c r="D71" s="54" t="s">
        <v>121</v>
      </c>
      <c r="E71" s="26" t="s">
        <v>98</v>
      </c>
      <c r="F71" s="50" t="s">
        <v>1</v>
      </c>
      <c r="H71" s="124"/>
      <c r="I71" s="55">
        <v>0.96317465274046887</v>
      </c>
      <c r="J71" s="55">
        <v>0.1238825356716871</v>
      </c>
      <c r="K71" s="62">
        <v>0.16700000000000001</v>
      </c>
      <c r="L71" s="128"/>
      <c r="M71" s="110">
        <v>40</v>
      </c>
      <c r="N71" s="49"/>
      <c r="O71" s="24">
        <v>-7.9773391812865579E-2</v>
      </c>
      <c r="P71" s="59">
        <v>0.65135365131277434</v>
      </c>
      <c r="Q71" s="58">
        <v>0.99399999999999999</v>
      </c>
      <c r="R71" s="128"/>
      <c r="S71" s="24">
        <v>1.0237600084807061</v>
      </c>
      <c r="T71" s="24">
        <v>4.0102106828738215E-2</v>
      </c>
      <c r="U71" s="56">
        <v>0.11600000000000001</v>
      </c>
      <c r="V71" s="58"/>
      <c r="W71" s="113">
        <v>36</v>
      </c>
      <c r="X71" s="130">
        <f t="shared" si="1"/>
        <v>0.9</v>
      </c>
      <c r="Y71" s="48">
        <v>0.85843809425353457</v>
      </c>
      <c r="Z71" s="24">
        <v>3.2460742184617246E-2</v>
      </c>
      <c r="AA71" s="62">
        <v>0.38</v>
      </c>
      <c r="AB71" s="51"/>
      <c r="AC71" s="113">
        <v>37</v>
      </c>
      <c r="AD71" s="12"/>
    </row>
    <row r="72" spans="1:30" ht="13.5" customHeight="1" x14ac:dyDescent="0.2">
      <c r="A72" s="103">
        <v>543</v>
      </c>
      <c r="B72" s="2" t="s">
        <v>16</v>
      </c>
      <c r="C72" s="2" t="s">
        <v>67</v>
      </c>
      <c r="D72" s="54" t="s">
        <v>105</v>
      </c>
      <c r="E72" s="26" t="s">
        <v>98</v>
      </c>
      <c r="F72" s="50" t="s">
        <v>3</v>
      </c>
      <c r="H72" s="124"/>
      <c r="I72" s="55">
        <v>0.55036432339880237</v>
      </c>
      <c r="J72" s="55">
        <v>8.2252365392422089E-2</v>
      </c>
      <c r="K72" s="56">
        <v>0.01</v>
      </c>
      <c r="L72" s="128"/>
      <c r="M72" s="110">
        <v>59</v>
      </c>
      <c r="N72" s="49"/>
      <c r="O72" s="24">
        <v>-4.6724303977272728</v>
      </c>
      <c r="P72" s="24">
        <v>0.88157168777122974</v>
      </c>
      <c r="Q72" s="56">
        <v>3.5999999999999997E-2</v>
      </c>
      <c r="R72" s="128"/>
      <c r="S72" s="24">
        <v>0.93663607438202601</v>
      </c>
      <c r="T72" s="24">
        <v>4.24074506306929E-2</v>
      </c>
      <c r="U72" s="56">
        <v>0.45500000000000002</v>
      </c>
      <c r="V72" s="56"/>
      <c r="W72" s="113">
        <v>44</v>
      </c>
      <c r="X72" s="130">
        <f t="shared" si="1"/>
        <v>0.74576271186440679</v>
      </c>
      <c r="Y72" s="48">
        <v>1.1356709277620463</v>
      </c>
      <c r="Z72" s="24">
        <v>4.4404225809438237E-2</v>
      </c>
      <c r="AA72" s="56">
        <v>2.1000000000000001E-2</v>
      </c>
      <c r="AB72" s="51"/>
      <c r="AC72" s="113">
        <v>50</v>
      </c>
      <c r="AD72" s="12"/>
    </row>
    <row r="73" spans="1:30" ht="13.5" customHeight="1" x14ac:dyDescent="0.2">
      <c r="A73" s="103">
        <v>560</v>
      </c>
      <c r="B73" s="2" t="s">
        <v>33</v>
      </c>
      <c r="C73" s="2" t="s">
        <v>36</v>
      </c>
      <c r="D73" s="54" t="s">
        <v>106</v>
      </c>
      <c r="E73" s="26" t="s">
        <v>98</v>
      </c>
      <c r="F73" s="50" t="s">
        <v>133</v>
      </c>
      <c r="H73" s="124"/>
      <c r="I73" s="55">
        <v>0.4269352133755856</v>
      </c>
      <c r="J73" s="55">
        <v>7.9264549055838102E-2</v>
      </c>
      <c r="K73" s="85">
        <v>3.0000000000000001E-3</v>
      </c>
      <c r="L73" s="128"/>
      <c r="M73" s="110">
        <v>31</v>
      </c>
      <c r="N73" s="49"/>
      <c r="O73" s="24">
        <v>2.5734329365079351</v>
      </c>
      <c r="P73" s="24">
        <v>0.94196131179525022</v>
      </c>
      <c r="Q73" s="62">
        <v>5.5E-2</v>
      </c>
      <c r="R73" s="128"/>
      <c r="S73" s="24">
        <v>0.91165246027511404</v>
      </c>
      <c r="T73" s="24">
        <v>4.9455465010076187E-2</v>
      </c>
      <c r="U73" s="56">
        <v>0.23499999999999999</v>
      </c>
      <c r="V73" s="62"/>
      <c r="W73" s="113">
        <v>28</v>
      </c>
      <c r="X73" s="130">
        <f t="shared" si="1"/>
        <v>0.90322580645161288</v>
      </c>
      <c r="Y73" s="48">
        <v>1.1178907848728439</v>
      </c>
      <c r="Z73" s="24">
        <v>7.7593955665165346E-2</v>
      </c>
      <c r="AA73" s="62">
        <v>0.38300000000000001</v>
      </c>
      <c r="AB73" s="51"/>
      <c r="AC73" s="113">
        <v>29</v>
      </c>
      <c r="AD73" s="12"/>
    </row>
    <row r="74" spans="1:30" ht="13.5" customHeight="1" x14ac:dyDescent="0.2">
      <c r="A74" s="103">
        <v>567</v>
      </c>
      <c r="B74" s="2" t="s">
        <v>16</v>
      </c>
      <c r="C74" s="2" t="s">
        <v>39</v>
      </c>
      <c r="D74" s="54" t="s">
        <v>107</v>
      </c>
      <c r="E74" s="26" t="s">
        <v>98</v>
      </c>
      <c r="F74" s="50" t="s">
        <v>133</v>
      </c>
      <c r="H74" s="124"/>
      <c r="I74" s="55">
        <v>0.71661832562539363</v>
      </c>
      <c r="J74" s="55">
        <v>0.11200807888254817</v>
      </c>
      <c r="K74" s="56">
        <v>0.10100000000000001</v>
      </c>
      <c r="L74" s="128"/>
      <c r="M74" s="110">
        <v>42</v>
      </c>
      <c r="N74" s="49"/>
      <c r="O74" s="24">
        <v>-6.2868763157894758</v>
      </c>
      <c r="P74" s="24">
        <v>1.0041173854014747</v>
      </c>
      <c r="Q74" s="85" t="s">
        <v>20</v>
      </c>
      <c r="R74" s="128"/>
      <c r="S74" s="24">
        <v>1.0842808317875055</v>
      </c>
      <c r="T74" s="24">
        <v>5.280109843324584E-2</v>
      </c>
      <c r="U74" s="56">
        <v>0.505</v>
      </c>
      <c r="V74" s="56"/>
      <c r="W74" s="113">
        <v>38</v>
      </c>
      <c r="X74" s="130">
        <f t="shared" si="1"/>
        <v>0.90476190476190477</v>
      </c>
      <c r="Y74" s="48">
        <v>1.2698462076383688</v>
      </c>
      <c r="Z74" s="24">
        <v>6.7384317012294831E-2</v>
      </c>
      <c r="AA74" s="85" t="s">
        <v>20</v>
      </c>
      <c r="AB74" s="51"/>
      <c r="AC74" s="113">
        <v>26</v>
      </c>
      <c r="AD74" s="12"/>
    </row>
    <row r="75" spans="1:30" ht="13.5" customHeight="1" x14ac:dyDescent="0.2">
      <c r="A75" s="103">
        <v>578</v>
      </c>
      <c r="B75" s="2" t="s">
        <v>67</v>
      </c>
      <c r="C75" s="2" t="s">
        <v>16</v>
      </c>
      <c r="D75" s="54" t="s">
        <v>108</v>
      </c>
      <c r="E75" s="26" t="s">
        <v>98</v>
      </c>
      <c r="F75" s="50" t="s">
        <v>3</v>
      </c>
      <c r="H75" s="124"/>
      <c r="I75" s="55">
        <v>0.7274853668186203</v>
      </c>
      <c r="J75" s="55">
        <v>8.563050854922262E-2</v>
      </c>
      <c r="K75" s="56">
        <v>0.182</v>
      </c>
      <c r="L75" s="128"/>
      <c r="M75" s="110">
        <v>40</v>
      </c>
      <c r="N75" s="49"/>
      <c r="O75" s="24">
        <v>0.5003650793650779</v>
      </c>
      <c r="P75" s="24">
        <v>1.0366731550938304</v>
      </c>
      <c r="Q75" s="62">
        <v>5.5E-2</v>
      </c>
      <c r="R75" s="128"/>
      <c r="S75" s="24">
        <v>0.86772775288660609</v>
      </c>
      <c r="T75" s="24">
        <v>4.1998574370778793E-2</v>
      </c>
      <c r="U75" s="56">
        <v>0.23499999999999999</v>
      </c>
      <c r="V75" s="62"/>
      <c r="W75" s="113">
        <v>35</v>
      </c>
      <c r="X75" s="130">
        <f t="shared" si="1"/>
        <v>0.875</v>
      </c>
      <c r="Y75" s="48">
        <v>0.97409540670269168</v>
      </c>
      <c r="Z75" s="24">
        <v>3.0634724335364013E-2</v>
      </c>
      <c r="AA75" s="62">
        <v>0.70099999999999996</v>
      </c>
      <c r="AB75" s="51"/>
      <c r="AC75" s="113">
        <v>36</v>
      </c>
      <c r="AD75" s="12"/>
    </row>
    <row r="76" spans="1:30" ht="13.5" customHeight="1" x14ac:dyDescent="0.2">
      <c r="A76" s="103">
        <v>581</v>
      </c>
      <c r="B76" s="2" t="s">
        <v>33</v>
      </c>
      <c r="C76" s="2" t="s">
        <v>34</v>
      </c>
      <c r="D76" s="54" t="s">
        <v>109</v>
      </c>
      <c r="E76" s="26" t="s">
        <v>98</v>
      </c>
      <c r="F76" s="50" t="s">
        <v>133</v>
      </c>
      <c r="H76" s="124"/>
      <c r="I76" s="55">
        <v>0.46714634036284175</v>
      </c>
      <c r="J76" s="55">
        <v>5.7127870116351967E-2</v>
      </c>
      <c r="K76" s="85" t="s">
        <v>20</v>
      </c>
      <c r="L76" s="128"/>
      <c r="M76" s="110">
        <v>52</v>
      </c>
      <c r="N76" s="49"/>
      <c r="O76" s="24">
        <v>0.8737628047921111</v>
      </c>
      <c r="P76" s="24">
        <v>1.3813363427619971</v>
      </c>
      <c r="Q76" s="56">
        <v>0.55800000000000005</v>
      </c>
      <c r="R76" s="128"/>
      <c r="S76" s="24">
        <v>0.765167132796155</v>
      </c>
      <c r="T76" s="24">
        <v>3.6826823558878632E-2</v>
      </c>
      <c r="U76" s="85">
        <v>2E-3</v>
      </c>
      <c r="V76" s="62"/>
      <c r="W76" s="113">
        <v>42</v>
      </c>
      <c r="X76" s="130">
        <f t="shared" si="1"/>
        <v>0.80769230769230771</v>
      </c>
      <c r="Y76" s="48">
        <v>1.0910820766845484</v>
      </c>
      <c r="Z76" s="24">
        <v>6.1353429019004715E-2</v>
      </c>
      <c r="AA76" s="62">
        <v>0.51</v>
      </c>
      <c r="AB76" s="51"/>
      <c r="AC76" s="113">
        <v>43</v>
      </c>
      <c r="AD76" s="12"/>
    </row>
    <row r="77" spans="1:30" ht="13.5" customHeight="1" x14ac:dyDescent="0.2">
      <c r="A77" s="103">
        <v>586</v>
      </c>
      <c r="B77" s="2" t="s">
        <v>34</v>
      </c>
      <c r="C77" s="2" t="s">
        <v>18</v>
      </c>
      <c r="D77" s="54" t="s">
        <v>110</v>
      </c>
      <c r="E77" s="26" t="s">
        <v>98</v>
      </c>
      <c r="F77" s="50" t="s">
        <v>137</v>
      </c>
      <c r="H77" s="124"/>
      <c r="I77" s="55">
        <v>1.4436076019303072</v>
      </c>
      <c r="J77" s="55">
        <v>0.14402314755482507</v>
      </c>
      <c r="K77" s="85">
        <v>7.0000000000000001E-3</v>
      </c>
      <c r="L77" s="128"/>
      <c r="M77" s="110">
        <v>81</v>
      </c>
      <c r="N77" s="49"/>
      <c r="O77" s="24">
        <v>-2.5209097932651328</v>
      </c>
      <c r="P77" s="24">
        <v>0.7646343111955487</v>
      </c>
      <c r="Q77" s="56">
        <v>0.26400000000000001</v>
      </c>
      <c r="R77" s="128"/>
      <c r="S77" s="24">
        <v>1.1002103144798552</v>
      </c>
      <c r="T77" s="24">
        <v>3.164832991063532E-2</v>
      </c>
      <c r="U77" s="56">
        <v>0.13300000000000001</v>
      </c>
      <c r="V77" s="56"/>
      <c r="W77" s="113">
        <v>69</v>
      </c>
      <c r="X77" s="130">
        <f t="shared" si="1"/>
        <v>0.85185185185185186</v>
      </c>
      <c r="Y77" s="48">
        <v>0.91695927698866098</v>
      </c>
      <c r="Z77" s="24">
        <v>2.4071458970829837E-2</v>
      </c>
      <c r="AA77" s="56">
        <v>0.20200000000000001</v>
      </c>
      <c r="AB77" s="51"/>
      <c r="AC77" s="113">
        <v>77</v>
      </c>
      <c r="AD77" s="12"/>
    </row>
    <row r="78" spans="1:30" ht="13.5" customHeight="1" x14ac:dyDescent="0.2">
      <c r="A78" s="103">
        <v>588</v>
      </c>
      <c r="B78" s="2" t="s">
        <v>33</v>
      </c>
      <c r="C78" s="2" t="s">
        <v>25</v>
      </c>
      <c r="D78" s="54" t="s">
        <v>111</v>
      </c>
      <c r="E78" s="26" t="s">
        <v>98</v>
      </c>
      <c r="F78" s="50" t="s">
        <v>3</v>
      </c>
      <c r="H78" s="124"/>
      <c r="I78" s="55">
        <v>0.43729653128618062</v>
      </c>
      <c r="J78" s="55">
        <v>6.7654400774953646E-2</v>
      </c>
      <c r="K78" s="85" t="s">
        <v>20</v>
      </c>
      <c r="L78" s="128"/>
      <c r="M78" s="110">
        <v>35</v>
      </c>
      <c r="N78" s="49"/>
      <c r="O78" s="24">
        <v>-1.5691615384615389</v>
      </c>
      <c r="P78" s="24">
        <v>1.0815809954577835</v>
      </c>
      <c r="Q78" s="62">
        <v>0.23499999999999999</v>
      </c>
      <c r="R78" s="128"/>
      <c r="S78" s="24">
        <v>0.86440956681513281</v>
      </c>
      <c r="T78" s="24">
        <v>5.0494398626533057E-2</v>
      </c>
      <c r="U78" s="56">
        <v>0.128</v>
      </c>
      <c r="V78" s="56"/>
      <c r="W78" s="113">
        <v>28</v>
      </c>
      <c r="X78" s="130">
        <f t="shared" si="1"/>
        <v>0.8</v>
      </c>
      <c r="Y78" s="48">
        <v>1.0409698652389727</v>
      </c>
      <c r="Z78" s="24">
        <v>5.2698095724769585E-2</v>
      </c>
      <c r="AA78" s="56">
        <v>0.53600000000000003</v>
      </c>
      <c r="AB78" s="51"/>
      <c r="AC78" s="113">
        <v>24</v>
      </c>
      <c r="AD78" s="12"/>
    </row>
    <row r="79" spans="1:30" ht="13.5" customHeight="1" x14ac:dyDescent="0.2">
      <c r="A79" s="103">
        <v>604</v>
      </c>
      <c r="B79" s="2" t="s">
        <v>33</v>
      </c>
      <c r="C79" s="2" t="s">
        <v>44</v>
      </c>
      <c r="D79" s="65" t="s">
        <v>112</v>
      </c>
      <c r="E79" s="26" t="s">
        <v>98</v>
      </c>
      <c r="F79" s="50" t="s">
        <v>1</v>
      </c>
      <c r="H79" s="125"/>
      <c r="I79" s="55">
        <v>1.2502295702475119</v>
      </c>
      <c r="J79" s="55">
        <v>0.19230048538058464</v>
      </c>
      <c r="K79" s="56">
        <v>0.753</v>
      </c>
      <c r="L79" s="128"/>
      <c r="M79" s="110">
        <v>29</v>
      </c>
      <c r="N79" s="49"/>
      <c r="O79" s="24">
        <v>0.42194444444444557</v>
      </c>
      <c r="P79" s="59">
        <v>0.69171909662953157</v>
      </c>
      <c r="Q79" s="58">
        <v>0.32900000000000001</v>
      </c>
      <c r="R79" s="128"/>
      <c r="S79" s="24">
        <v>0.95004574016586418</v>
      </c>
      <c r="T79" s="24">
        <v>5.4571200994395143E-2</v>
      </c>
      <c r="U79" s="56">
        <v>0.63200000000000001</v>
      </c>
      <c r="V79" s="58"/>
      <c r="W79" s="111">
        <v>9</v>
      </c>
      <c r="X79" s="131">
        <f t="shared" si="1"/>
        <v>0.31034482758620691</v>
      </c>
      <c r="Y79" s="24">
        <v>1.0277579106604036</v>
      </c>
      <c r="Z79" s="24">
        <v>6.9332526637929368E-2</v>
      </c>
      <c r="AA79" s="56">
        <v>0.94399999999999995</v>
      </c>
      <c r="AB79" s="51"/>
      <c r="AC79" s="113">
        <v>26</v>
      </c>
      <c r="AD79" s="12"/>
    </row>
    <row r="80" spans="1:30" ht="13.5" customHeight="1" x14ac:dyDescent="0.2">
      <c r="A80" s="103">
        <v>605</v>
      </c>
      <c r="B80" s="2" t="s">
        <v>66</v>
      </c>
      <c r="C80" s="2" t="s">
        <v>25</v>
      </c>
      <c r="D80" s="65" t="s">
        <v>113</v>
      </c>
      <c r="E80" s="26" t="s">
        <v>98</v>
      </c>
      <c r="F80" s="50" t="s">
        <v>1</v>
      </c>
      <c r="H80" s="125"/>
      <c r="I80" s="55">
        <v>0.91015945274125487</v>
      </c>
      <c r="J80" s="55">
        <v>0.13435063578545234</v>
      </c>
      <c r="K80" s="56">
        <v>0.71799999999999997</v>
      </c>
      <c r="L80" s="128"/>
      <c r="M80" s="111">
        <v>45</v>
      </c>
      <c r="N80" s="49"/>
      <c r="O80" s="24">
        <v>1.9671153846153859</v>
      </c>
      <c r="P80" s="59">
        <v>1.0911967761770791</v>
      </c>
      <c r="Q80" s="58">
        <v>0.32900000000000001</v>
      </c>
      <c r="R80" s="128"/>
      <c r="S80" s="24">
        <v>1.0409792663808048</v>
      </c>
      <c r="T80" s="24">
        <v>4.6470381481737461E-2</v>
      </c>
      <c r="U80" s="56">
        <v>0.63200000000000001</v>
      </c>
      <c r="V80" s="58"/>
      <c r="W80" s="111">
        <v>13</v>
      </c>
      <c r="X80" s="131">
        <f t="shared" si="1"/>
        <v>0.28888888888888886</v>
      </c>
      <c r="Y80" s="24">
        <v>1.0345182859402386</v>
      </c>
      <c r="Z80" s="24">
        <v>4.5644324275020229E-2</v>
      </c>
      <c r="AA80" s="56">
        <v>0.94399999999999995</v>
      </c>
      <c r="AB80" s="51"/>
      <c r="AC80" s="113">
        <v>32</v>
      </c>
      <c r="AD80" s="12"/>
    </row>
    <row r="81" spans="1:30" s="1" customFormat="1" x14ac:dyDescent="0.2">
      <c r="A81" s="103">
        <v>637</v>
      </c>
      <c r="B81" s="2" t="s">
        <v>17</v>
      </c>
      <c r="C81" s="2" t="s">
        <v>33</v>
      </c>
      <c r="D81" s="65" t="s">
        <v>114</v>
      </c>
      <c r="E81" s="26" t="s">
        <v>98</v>
      </c>
      <c r="F81" s="50" t="s">
        <v>3</v>
      </c>
      <c r="G81" s="50"/>
      <c r="H81" s="125"/>
      <c r="I81" s="55">
        <v>0.42144600427921414</v>
      </c>
      <c r="J81" s="55">
        <v>8.3594430800016384E-2</v>
      </c>
      <c r="K81" s="85" t="s">
        <v>20</v>
      </c>
      <c r="L81" s="128"/>
      <c r="M81" s="111">
        <v>31</v>
      </c>
      <c r="N81" s="49"/>
      <c r="O81" s="24">
        <v>2.3588313186813186</v>
      </c>
      <c r="P81" s="59">
        <v>1.0675925470945675</v>
      </c>
      <c r="Q81" s="62">
        <v>0.14499999999999999</v>
      </c>
      <c r="R81" s="128"/>
      <c r="S81" s="24">
        <v>0.87326973395715624</v>
      </c>
      <c r="T81" s="24">
        <v>4.9998445370959536E-2</v>
      </c>
      <c r="U81" s="56">
        <v>0.128</v>
      </c>
      <c r="V81" s="58"/>
      <c r="W81" s="111">
        <v>28</v>
      </c>
      <c r="X81" s="131">
        <f t="shared" ref="X81:X88" si="2">(W81/M81)</f>
        <v>0.90322580645161288</v>
      </c>
      <c r="Y81" s="24">
        <v>1.0599736973530092</v>
      </c>
      <c r="Z81" s="24">
        <v>5.4596906103372443E-2</v>
      </c>
      <c r="AA81" s="56">
        <v>0.59</v>
      </c>
      <c r="AB81" s="51"/>
      <c r="AC81" s="113">
        <v>23</v>
      </c>
      <c r="AD81" s="12"/>
    </row>
    <row r="82" spans="1:30" s="1" customFormat="1" x14ac:dyDescent="0.2">
      <c r="A82" s="103">
        <v>701</v>
      </c>
      <c r="B82" s="2" t="s">
        <v>22</v>
      </c>
      <c r="C82" s="2" t="s">
        <v>93</v>
      </c>
      <c r="D82" s="65" t="s">
        <v>132</v>
      </c>
      <c r="E82" s="26" t="s">
        <v>98</v>
      </c>
      <c r="F82" s="50" t="s">
        <v>1</v>
      </c>
      <c r="G82" s="50"/>
      <c r="H82" s="125"/>
      <c r="I82" s="55">
        <v>1.480837644322377</v>
      </c>
      <c r="J82" s="57">
        <v>0.16475610460474957</v>
      </c>
      <c r="K82" s="58">
        <v>1.2E-2</v>
      </c>
      <c r="L82" s="128"/>
      <c r="M82" s="110">
        <v>37</v>
      </c>
      <c r="N82" s="49"/>
      <c r="O82" s="24">
        <v>0.63538351254480141</v>
      </c>
      <c r="P82" s="59">
        <v>0.88986935503214226</v>
      </c>
      <c r="Q82" s="63">
        <v>5.5E-2</v>
      </c>
      <c r="R82" s="128"/>
      <c r="S82" s="24">
        <v>0.96360517940676571</v>
      </c>
      <c r="T82" s="24">
        <v>4.6313584733790041E-2</v>
      </c>
      <c r="U82" s="56">
        <v>0.23499999999999999</v>
      </c>
      <c r="V82" s="63"/>
      <c r="W82" s="111">
        <v>31</v>
      </c>
      <c r="X82" s="131">
        <f t="shared" si="2"/>
        <v>0.83783783783783783</v>
      </c>
      <c r="Y82" s="24">
        <v>0.8723568328385124</v>
      </c>
      <c r="Z82" s="24">
        <v>3.6439738946060701E-2</v>
      </c>
      <c r="AA82" s="62">
        <v>0.32800000000000001</v>
      </c>
      <c r="AB82" s="51"/>
      <c r="AC82" s="113">
        <v>37</v>
      </c>
      <c r="AD82" s="12"/>
    </row>
    <row r="83" spans="1:30" x14ac:dyDescent="0.2">
      <c r="A83" s="103">
        <v>737</v>
      </c>
      <c r="B83" s="2" t="s">
        <v>53</v>
      </c>
      <c r="C83" s="2" t="s">
        <v>25</v>
      </c>
      <c r="D83" s="65" t="s">
        <v>115</v>
      </c>
      <c r="E83" s="26" t="s">
        <v>98</v>
      </c>
      <c r="F83" s="50" t="s">
        <v>1</v>
      </c>
      <c r="H83" s="125"/>
      <c r="I83" s="55">
        <v>1.155178365813575</v>
      </c>
      <c r="J83" s="55">
        <v>0.20099134642671523</v>
      </c>
      <c r="K83" s="56">
        <v>0.78500000000000003</v>
      </c>
      <c r="L83" s="128"/>
      <c r="M83" s="110">
        <v>39</v>
      </c>
      <c r="N83" s="49"/>
      <c r="O83" s="59">
        <v>-0.45049999999999918</v>
      </c>
      <c r="P83" s="59">
        <v>0.73919821428355748</v>
      </c>
      <c r="Q83" s="58">
        <v>0.32900000000000001</v>
      </c>
      <c r="R83" s="128"/>
      <c r="S83" s="24">
        <v>1.0565798353354028</v>
      </c>
      <c r="T83" s="24">
        <v>4.2726071845779832E-2</v>
      </c>
      <c r="U83" s="56">
        <v>0.63200000000000001</v>
      </c>
      <c r="V83" s="58"/>
      <c r="W83" s="111">
        <v>20</v>
      </c>
      <c r="X83" s="131">
        <f t="shared" si="2"/>
        <v>0.51282051282051277</v>
      </c>
      <c r="Y83" s="24">
        <v>1.055835970507788</v>
      </c>
      <c r="Z83" s="24">
        <v>5.830337630516113E-2</v>
      </c>
      <c r="AA83" s="56">
        <v>0.94399999999999995</v>
      </c>
      <c r="AB83" s="51"/>
      <c r="AC83" s="113">
        <v>29</v>
      </c>
      <c r="AD83" s="12"/>
    </row>
    <row r="84" spans="1:30" x14ac:dyDescent="0.2">
      <c r="A84" s="103">
        <v>751</v>
      </c>
      <c r="B84" s="2" t="s">
        <v>25</v>
      </c>
      <c r="C84" s="2" t="s">
        <v>17</v>
      </c>
      <c r="D84" s="65" t="s">
        <v>116</v>
      </c>
      <c r="E84" s="26" t="s">
        <v>98</v>
      </c>
      <c r="F84" s="50" t="s">
        <v>1</v>
      </c>
      <c r="H84" s="125"/>
      <c r="I84" s="55">
        <v>1.7616397713196166</v>
      </c>
      <c r="J84" s="55">
        <v>0.27977845732697787</v>
      </c>
      <c r="K84" s="56">
        <v>1.7999999999999999E-2</v>
      </c>
      <c r="L84" s="128"/>
      <c r="M84" s="111">
        <v>39</v>
      </c>
      <c r="N84" s="49"/>
      <c r="O84" s="24">
        <v>0.44832352941176579</v>
      </c>
      <c r="P84" s="59">
        <v>0.81122045054175163</v>
      </c>
      <c r="Q84" s="58">
        <v>0.32900000000000001</v>
      </c>
      <c r="R84" s="128"/>
      <c r="S84" s="24">
        <v>1.0816653831190999</v>
      </c>
      <c r="T84" s="24">
        <v>5.0859600522681479E-2</v>
      </c>
      <c r="U84" s="56">
        <v>0.63200000000000001</v>
      </c>
      <c r="V84" s="58"/>
      <c r="W84" s="111">
        <v>17</v>
      </c>
      <c r="X84" s="131">
        <f t="shared" si="2"/>
        <v>0.4358974358974359</v>
      </c>
      <c r="Y84" s="24">
        <v>1.0482122043884321</v>
      </c>
      <c r="Z84" s="24">
        <v>4.8515480610447061E-2</v>
      </c>
      <c r="AA84" s="56">
        <v>0.94399999999999995</v>
      </c>
      <c r="AB84" s="51"/>
      <c r="AC84" s="113">
        <v>36</v>
      </c>
      <c r="AD84" s="12"/>
    </row>
    <row r="85" spans="1:30" x14ac:dyDescent="0.2">
      <c r="A85" s="103">
        <v>760</v>
      </c>
      <c r="B85" s="2" t="s">
        <v>33</v>
      </c>
      <c r="C85" s="2" t="s">
        <v>46</v>
      </c>
      <c r="D85" s="65" t="s">
        <v>117</v>
      </c>
      <c r="E85" s="26" t="s">
        <v>98</v>
      </c>
      <c r="F85" s="50" t="s">
        <v>1</v>
      </c>
      <c r="H85" s="125"/>
      <c r="I85" s="55">
        <v>0.87930998647797542</v>
      </c>
      <c r="J85" s="55">
        <v>0.12088120746672058</v>
      </c>
      <c r="K85" s="56">
        <v>0.84399999999999997</v>
      </c>
      <c r="L85" s="128"/>
      <c r="M85" s="110">
        <v>39</v>
      </c>
      <c r="N85" s="49"/>
      <c r="O85" s="59">
        <v>-0.41985185185184626</v>
      </c>
      <c r="P85" s="59">
        <v>0.82633662370735284</v>
      </c>
      <c r="Q85" s="58">
        <v>6.7000000000000004E-2</v>
      </c>
      <c r="R85" s="128"/>
      <c r="S85" s="24">
        <v>1.0111146677114906</v>
      </c>
      <c r="T85" s="24">
        <v>5.0583501003123518E-2</v>
      </c>
      <c r="U85" s="56">
        <v>0.61099999999999999</v>
      </c>
      <c r="V85" s="58"/>
      <c r="W85" s="111">
        <v>27</v>
      </c>
      <c r="X85" s="131">
        <f t="shared" si="2"/>
        <v>0.69230769230769229</v>
      </c>
      <c r="Y85" s="135">
        <v>0.99496798469506753</v>
      </c>
      <c r="Z85" s="134">
        <v>6.0734485587702426E-2</v>
      </c>
      <c r="AA85" s="136">
        <v>0.53700000000000003</v>
      </c>
      <c r="AB85" s="51"/>
      <c r="AC85" s="113">
        <v>30</v>
      </c>
      <c r="AD85" s="12"/>
    </row>
    <row r="86" spans="1:30" s="64" customFormat="1" ht="15" x14ac:dyDescent="0.25">
      <c r="A86" s="103">
        <v>771</v>
      </c>
      <c r="B86" s="2" t="s">
        <v>66</v>
      </c>
      <c r="C86" s="2" t="s">
        <v>27</v>
      </c>
      <c r="D86" s="65" t="s">
        <v>118</v>
      </c>
      <c r="E86" s="26" t="s">
        <v>98</v>
      </c>
      <c r="F86" s="50" t="s">
        <v>1</v>
      </c>
      <c r="G86" s="50"/>
      <c r="H86" s="125"/>
      <c r="I86" s="55">
        <v>0.90297411417668105</v>
      </c>
      <c r="J86" s="55">
        <v>0.13275023394142049</v>
      </c>
      <c r="K86" s="56">
        <v>0.84399999999999997</v>
      </c>
      <c r="L86" s="128"/>
      <c r="M86" s="110">
        <v>38</v>
      </c>
      <c r="N86" s="49"/>
      <c r="O86" s="59">
        <v>-4.0999999999994367E-2</v>
      </c>
      <c r="P86" s="59">
        <v>0.76829692984795472</v>
      </c>
      <c r="Q86" s="58">
        <v>6.7000000000000004E-2</v>
      </c>
      <c r="R86" s="128"/>
      <c r="S86" s="24">
        <v>1.0022891518521391</v>
      </c>
      <c r="T86" s="24">
        <v>3.3595090730559024E-2</v>
      </c>
      <c r="U86" s="56">
        <v>0.61099999999999999</v>
      </c>
      <c r="V86" s="58"/>
      <c r="W86" s="111">
        <v>29</v>
      </c>
      <c r="X86" s="131">
        <f t="shared" si="2"/>
        <v>0.76315789473684215</v>
      </c>
      <c r="Y86" s="135">
        <v>0.83815183175003527</v>
      </c>
      <c r="Z86" s="134">
        <v>3.4041642720994587E-2</v>
      </c>
      <c r="AA86" s="136">
        <v>0.53700000000000003</v>
      </c>
      <c r="AB86" s="51"/>
      <c r="AC86" s="113">
        <v>34</v>
      </c>
      <c r="AD86" s="12"/>
    </row>
    <row r="87" spans="1:30" s="64" customFormat="1" ht="15" x14ac:dyDescent="0.25">
      <c r="A87" s="103">
        <v>780</v>
      </c>
      <c r="B87" s="2" t="s">
        <v>84</v>
      </c>
      <c r="C87" s="2" t="s">
        <v>66</v>
      </c>
      <c r="D87" s="65" t="s">
        <v>119</v>
      </c>
      <c r="E87" s="26" t="s">
        <v>98</v>
      </c>
      <c r="F87" s="50" t="s">
        <v>1</v>
      </c>
      <c r="G87" s="50"/>
      <c r="H87" s="125"/>
      <c r="I87" s="55">
        <v>0.77541965573725324</v>
      </c>
      <c r="J87" s="55">
        <v>0.11313930027946774</v>
      </c>
      <c r="K87" s="56">
        <v>0.14099999999999999</v>
      </c>
      <c r="L87" s="128"/>
      <c r="M87" s="110">
        <v>73</v>
      </c>
      <c r="N87" s="49"/>
      <c r="O87" s="59">
        <v>-1.095619287634408</v>
      </c>
      <c r="P87" s="59">
        <v>0.77291038525776712</v>
      </c>
      <c r="Q87" s="58">
        <v>0.25600000000000001</v>
      </c>
      <c r="R87" s="128"/>
      <c r="S87" s="24">
        <v>1.05</v>
      </c>
      <c r="T87" s="24">
        <v>0.03</v>
      </c>
      <c r="U87" s="56">
        <v>0.24</v>
      </c>
      <c r="V87" s="58"/>
      <c r="W87" s="111">
        <v>62</v>
      </c>
      <c r="X87" s="131">
        <f t="shared" si="2"/>
        <v>0.84931506849315064</v>
      </c>
      <c r="Y87" s="24">
        <v>1.0568406339375456</v>
      </c>
      <c r="Z87" s="24">
        <v>6.0932258175813325E-2</v>
      </c>
      <c r="AA87" s="56">
        <v>0.48099999999999998</v>
      </c>
      <c r="AB87" s="51"/>
      <c r="AC87" s="113">
        <v>67</v>
      </c>
      <c r="AD87" s="12"/>
    </row>
    <row r="88" spans="1:30" x14ac:dyDescent="0.2">
      <c r="A88" s="103">
        <v>854</v>
      </c>
      <c r="B88" s="2" t="s">
        <v>33</v>
      </c>
      <c r="C88" s="2" t="s">
        <v>44</v>
      </c>
      <c r="D88" s="65" t="s">
        <v>120</v>
      </c>
      <c r="E88" s="26" t="s">
        <v>98</v>
      </c>
      <c r="F88" s="50" t="s">
        <v>1</v>
      </c>
      <c r="H88" s="125"/>
      <c r="I88" s="55">
        <v>0.82013795127503819</v>
      </c>
      <c r="J88" s="55">
        <v>8.9350285099032048E-2</v>
      </c>
      <c r="K88" s="56">
        <v>0.14899999999999999</v>
      </c>
      <c r="L88" s="128"/>
      <c r="M88" s="110">
        <v>71</v>
      </c>
      <c r="N88" s="49"/>
      <c r="O88" s="59">
        <v>0.38030096129521868</v>
      </c>
      <c r="P88" s="59">
        <v>0.98426689588089677</v>
      </c>
      <c r="Q88" s="58">
        <v>0.751</v>
      </c>
      <c r="R88" s="128"/>
      <c r="S88" s="24">
        <v>1.0174956021109869</v>
      </c>
      <c r="T88" s="24">
        <v>3.7888765732023523E-2</v>
      </c>
      <c r="U88" s="56">
        <v>0.158</v>
      </c>
      <c r="V88" s="58"/>
      <c r="W88" s="111">
        <v>59</v>
      </c>
      <c r="X88" s="131">
        <f t="shared" si="2"/>
        <v>0.83098591549295775</v>
      </c>
      <c r="Y88" s="24">
        <v>1.0041080776978939</v>
      </c>
      <c r="Z88" s="24">
        <v>3.0444595835429106E-2</v>
      </c>
      <c r="AA88" s="56">
        <v>0.33</v>
      </c>
      <c r="AB88" s="51"/>
      <c r="AC88" s="113">
        <v>65</v>
      </c>
      <c r="AD88" s="12"/>
    </row>
    <row r="89" spans="1:30" ht="15" x14ac:dyDescent="0.25">
      <c r="H89" s="23"/>
      <c r="I89" s="64"/>
      <c r="J89" s="64"/>
      <c r="K89" s="64"/>
      <c r="L89" s="64"/>
      <c r="M89" s="112"/>
      <c r="N89" s="105"/>
      <c r="O89" s="67"/>
      <c r="P89" s="68"/>
      <c r="Q89" s="64"/>
      <c r="R89"/>
      <c r="S89"/>
      <c r="T89"/>
      <c r="U89"/>
      <c r="V89"/>
      <c r="W89" s="115"/>
      <c r="X89" s="104"/>
      <c r="Y89"/>
      <c r="Z89"/>
      <c r="AA89"/>
      <c r="AB89"/>
      <c r="AC89" s="116"/>
      <c r="AD89"/>
    </row>
    <row r="90" spans="1:30" x14ac:dyDescent="0.2">
      <c r="D90" s="78"/>
      <c r="E90" s="78"/>
      <c r="F90" s="78"/>
      <c r="G90" s="78"/>
      <c r="H90" s="79"/>
      <c r="I90" s="70"/>
      <c r="J90" s="71"/>
      <c r="K90" s="71"/>
      <c r="L90" s="71"/>
      <c r="M90" s="69"/>
      <c r="N90" s="70"/>
      <c r="O90" s="72"/>
      <c r="P90" s="73"/>
      <c r="Q90" s="73"/>
      <c r="R90" s="73"/>
      <c r="S90" s="73"/>
      <c r="T90" s="73"/>
      <c r="U90" s="73"/>
      <c r="V90" s="73"/>
      <c r="W90" s="110"/>
      <c r="X90" s="51"/>
      <c r="Y90" s="52"/>
      <c r="Z90" s="52"/>
      <c r="AA90" s="52"/>
      <c r="AB90" s="52"/>
      <c r="AC90" s="110"/>
      <c r="AD90" s="51"/>
    </row>
    <row r="91" spans="1:30" x14ac:dyDescent="0.2">
      <c r="I91" s="75"/>
      <c r="J91" s="75"/>
      <c r="K91" s="75"/>
      <c r="L91" s="75"/>
      <c r="M91" s="51"/>
      <c r="N91" s="76"/>
      <c r="O91" s="77"/>
      <c r="P91" s="73"/>
      <c r="Q91" s="73"/>
      <c r="R91" s="73"/>
      <c r="S91" s="73"/>
      <c r="T91" s="73"/>
      <c r="U91" s="73"/>
      <c r="V91" s="73"/>
      <c r="W91" s="111"/>
      <c r="X91" s="50"/>
      <c r="Y91" s="52"/>
      <c r="Z91" s="52"/>
      <c r="AA91" s="52"/>
      <c r="AB91" s="52"/>
      <c r="AC91" s="111"/>
      <c r="AD91" s="50"/>
    </row>
    <row r="92" spans="1:30" x14ac:dyDescent="0.2">
      <c r="I92" s="75"/>
      <c r="J92" s="75"/>
      <c r="K92" s="75"/>
      <c r="L92" s="75"/>
      <c r="M92" s="51"/>
      <c r="N92" s="76"/>
      <c r="O92" s="77"/>
      <c r="P92" s="73"/>
      <c r="Q92" s="73"/>
      <c r="R92" s="73"/>
      <c r="S92" s="73"/>
      <c r="T92" s="73"/>
      <c r="U92" s="73"/>
      <c r="V92" s="73"/>
      <c r="W92" s="111"/>
      <c r="X92" s="50"/>
      <c r="Y92" s="52"/>
      <c r="Z92" s="52"/>
      <c r="AA92" s="52"/>
      <c r="AB92" s="52"/>
      <c r="AC92" s="111"/>
      <c r="AD92" s="50"/>
    </row>
    <row r="93" spans="1:30" x14ac:dyDescent="0.2">
      <c r="I93" s="76"/>
      <c r="J93" s="26"/>
      <c r="K93" s="58"/>
      <c r="L93" s="129"/>
      <c r="M93" s="51"/>
      <c r="N93" s="50"/>
      <c r="O93" s="76"/>
      <c r="P93" s="26"/>
      <c r="Q93" s="58"/>
      <c r="R93" s="129"/>
      <c r="S93" s="73"/>
      <c r="T93" s="73"/>
      <c r="U93" s="73"/>
      <c r="V93" s="73"/>
      <c r="W93" s="111"/>
      <c r="X93" s="50"/>
      <c r="Y93" s="52"/>
      <c r="Z93" s="52"/>
      <c r="AA93" s="52"/>
      <c r="AB93" s="52"/>
      <c r="AC93" s="111"/>
      <c r="AD93" s="50"/>
    </row>
    <row r="94" spans="1:30" x14ac:dyDescent="0.2">
      <c r="D94" s="78"/>
      <c r="E94" s="78"/>
      <c r="F94" s="78"/>
      <c r="G94" s="78"/>
      <c r="H94" s="80"/>
      <c r="I94" s="76"/>
      <c r="J94" s="26"/>
      <c r="K94" s="58"/>
      <c r="L94" s="58"/>
      <c r="M94" s="51"/>
      <c r="N94" s="50"/>
      <c r="O94" s="76"/>
      <c r="P94" s="26"/>
      <c r="Q94" s="58"/>
      <c r="R94" s="58"/>
      <c r="S94" s="73"/>
      <c r="T94" s="73"/>
      <c r="U94" s="73"/>
      <c r="V94" s="73"/>
      <c r="W94" s="111"/>
      <c r="X94" s="50"/>
      <c r="Y94" s="52"/>
      <c r="Z94" s="52"/>
      <c r="AA94" s="52"/>
      <c r="AB94" s="52"/>
      <c r="AC94" s="111"/>
      <c r="AD94" s="50"/>
    </row>
    <row r="95" spans="1:30" x14ac:dyDescent="0.2">
      <c r="I95" s="129"/>
      <c r="J95" s="26"/>
      <c r="K95" s="26"/>
      <c r="L95" s="57"/>
      <c r="M95" s="51"/>
      <c r="N95" s="50"/>
      <c r="O95" s="129"/>
      <c r="P95" s="26"/>
      <c r="Q95" s="26"/>
      <c r="R95" s="57"/>
      <c r="S95" s="73"/>
      <c r="T95" s="73"/>
      <c r="U95" s="73"/>
      <c r="V95" s="73"/>
      <c r="W95" s="50"/>
      <c r="X95" s="50"/>
      <c r="Y95" s="52"/>
      <c r="Z95" s="52"/>
      <c r="AA95" s="52"/>
      <c r="AB95" s="52"/>
      <c r="AC95" s="50"/>
      <c r="AD95" s="50"/>
    </row>
    <row r="96" spans="1:30" x14ac:dyDescent="0.2">
      <c r="I96" s="70"/>
      <c r="J96" s="123"/>
      <c r="K96" s="75"/>
      <c r="L96" s="75"/>
      <c r="M96" s="51"/>
      <c r="N96" s="50"/>
      <c r="O96" s="77"/>
      <c r="P96" s="73"/>
      <c r="Q96" s="73"/>
      <c r="R96" s="73"/>
      <c r="S96" s="73"/>
      <c r="T96" s="73"/>
      <c r="U96" s="73"/>
      <c r="V96" s="73"/>
      <c r="W96" s="50"/>
      <c r="X96" s="50"/>
      <c r="Y96" s="52"/>
      <c r="Z96" s="52"/>
      <c r="AA96" s="52"/>
      <c r="AB96" s="52"/>
      <c r="AC96" s="50"/>
      <c r="AD96" s="50"/>
    </row>
    <row r="97" spans="1:30" x14ac:dyDescent="0.2">
      <c r="I97" s="70"/>
      <c r="J97" s="75"/>
      <c r="K97" s="75"/>
      <c r="L97" s="75"/>
      <c r="M97" s="51"/>
      <c r="N97" s="50"/>
      <c r="O97" s="77"/>
      <c r="P97" s="73"/>
      <c r="Q97" s="73"/>
      <c r="R97" s="73"/>
      <c r="S97" s="73"/>
      <c r="T97" s="73"/>
      <c r="U97" s="73"/>
      <c r="V97" s="73"/>
      <c r="W97" s="50"/>
      <c r="X97" s="50"/>
      <c r="Y97" s="52"/>
      <c r="Z97" s="52"/>
      <c r="AA97" s="52"/>
      <c r="AB97" s="52"/>
      <c r="AC97" s="50"/>
      <c r="AD97" s="50"/>
    </row>
    <row r="98" spans="1:30" x14ac:dyDescent="0.2">
      <c r="I98" s="75"/>
      <c r="J98" s="75"/>
      <c r="K98" s="75"/>
      <c r="L98" s="75"/>
      <c r="M98" s="51"/>
      <c r="N98" s="50"/>
      <c r="O98" s="77"/>
      <c r="P98" s="73"/>
      <c r="Q98" s="73"/>
      <c r="R98" s="73"/>
      <c r="S98" s="73"/>
      <c r="T98" s="73"/>
      <c r="U98" s="73"/>
      <c r="V98" s="73"/>
      <c r="W98" s="50"/>
      <c r="X98" s="50"/>
      <c r="Y98" s="52"/>
      <c r="Z98" s="52"/>
      <c r="AA98" s="52"/>
      <c r="AB98" s="52"/>
      <c r="AC98" s="50"/>
      <c r="AD98" s="50"/>
    </row>
    <row r="99" spans="1:30" x14ac:dyDescent="0.2">
      <c r="I99" s="75"/>
      <c r="J99" s="75"/>
      <c r="K99" s="75"/>
      <c r="L99" s="75"/>
      <c r="M99" s="51"/>
      <c r="N99" s="50"/>
      <c r="O99" s="77"/>
      <c r="P99" s="73"/>
      <c r="Q99" s="73"/>
      <c r="R99" s="73"/>
      <c r="S99" s="73"/>
      <c r="T99" s="73"/>
      <c r="U99" s="73"/>
      <c r="V99" s="73"/>
      <c r="W99" s="50"/>
      <c r="X99" s="50"/>
      <c r="Y99" s="52"/>
      <c r="Z99" s="52"/>
      <c r="AA99" s="52"/>
      <c r="AB99" s="52"/>
      <c r="AC99" s="50"/>
      <c r="AD99" s="50"/>
    </row>
    <row r="100" spans="1:30" x14ac:dyDescent="0.2">
      <c r="A100" s="76"/>
      <c r="B100" s="76"/>
      <c r="C100" s="70"/>
      <c r="I100" s="75"/>
      <c r="J100" s="75"/>
      <c r="K100" s="75"/>
      <c r="L100" s="75"/>
      <c r="M100" s="51"/>
      <c r="N100" s="50"/>
      <c r="O100" s="77"/>
      <c r="P100" s="73"/>
      <c r="Q100" s="73"/>
      <c r="R100" s="73"/>
      <c r="S100" s="73"/>
      <c r="T100" s="73"/>
      <c r="U100" s="73"/>
      <c r="V100" s="73"/>
      <c r="W100" s="50"/>
      <c r="X100" s="50"/>
      <c r="Y100" s="52"/>
      <c r="Z100" s="52"/>
      <c r="AA100" s="52"/>
      <c r="AB100" s="52"/>
      <c r="AC100" s="50"/>
      <c r="AD100" s="50"/>
    </row>
    <row r="101" spans="1:30" x14ac:dyDescent="0.2">
      <c r="I101" s="70"/>
      <c r="J101" s="75"/>
      <c r="K101" s="75"/>
      <c r="L101" s="75"/>
      <c r="M101" s="51"/>
      <c r="N101" s="50"/>
      <c r="O101" s="77"/>
      <c r="P101" s="73"/>
      <c r="Q101" s="73"/>
      <c r="R101" s="73"/>
      <c r="S101" s="73"/>
      <c r="T101" s="73"/>
      <c r="U101" s="73"/>
      <c r="V101" s="73"/>
      <c r="W101" s="50"/>
      <c r="X101" s="50"/>
      <c r="Y101" s="52"/>
      <c r="Z101" s="52"/>
      <c r="AA101" s="52"/>
      <c r="AB101" s="52"/>
      <c r="AC101" s="50"/>
      <c r="AD101" s="50"/>
    </row>
    <row r="102" spans="1:30" x14ac:dyDescent="0.2">
      <c r="I102" s="75"/>
      <c r="J102" s="76"/>
      <c r="K102" s="76"/>
      <c r="L102" s="76"/>
      <c r="M102" s="51"/>
      <c r="N102" s="50"/>
      <c r="O102" s="77"/>
      <c r="P102" s="73"/>
      <c r="Q102" s="73"/>
      <c r="R102" s="73"/>
      <c r="S102" s="73"/>
      <c r="T102" s="73"/>
      <c r="U102" s="73"/>
      <c r="V102" s="73"/>
      <c r="W102" s="50"/>
      <c r="X102" s="50"/>
      <c r="Y102" s="52"/>
      <c r="Z102" s="52"/>
      <c r="AA102" s="52"/>
      <c r="AB102" s="52"/>
      <c r="AC102" s="50"/>
      <c r="AD102" s="50"/>
    </row>
    <row r="103" spans="1:30" x14ac:dyDescent="0.2">
      <c r="I103" s="75"/>
      <c r="J103" s="75"/>
      <c r="K103" s="75"/>
      <c r="L103" s="75"/>
      <c r="M103" s="51"/>
      <c r="N103" s="50"/>
      <c r="O103" s="77"/>
      <c r="P103" s="73"/>
      <c r="Q103" s="73"/>
      <c r="R103" s="73"/>
      <c r="S103" s="73"/>
      <c r="T103" s="73"/>
      <c r="U103" s="73"/>
      <c r="V103" s="73"/>
      <c r="W103" s="50"/>
      <c r="X103" s="50"/>
      <c r="Y103" s="52"/>
      <c r="Z103" s="52"/>
      <c r="AA103" s="52"/>
      <c r="AB103" s="52"/>
      <c r="AC103" s="50"/>
      <c r="AD103" s="50"/>
    </row>
    <row r="104" spans="1:30" ht="15" customHeight="1" x14ac:dyDescent="0.2">
      <c r="I104" s="75"/>
      <c r="J104" s="75"/>
      <c r="K104" s="75"/>
      <c r="L104" s="75"/>
      <c r="M104" s="51"/>
      <c r="N104" s="50"/>
      <c r="O104" s="77"/>
      <c r="P104" s="73"/>
      <c r="Q104" s="73"/>
      <c r="R104" s="73"/>
      <c r="S104" s="73"/>
      <c r="T104" s="73"/>
      <c r="U104" s="73"/>
      <c r="V104" s="73"/>
      <c r="W104" s="50"/>
      <c r="X104" s="50"/>
      <c r="Y104" s="52"/>
      <c r="Z104" s="52"/>
      <c r="AA104" s="52"/>
      <c r="AB104" s="52"/>
      <c r="AC104" s="50"/>
      <c r="AD104" s="50"/>
    </row>
    <row r="105" spans="1:30" x14ac:dyDescent="0.2">
      <c r="I105" s="76"/>
      <c r="J105" s="76"/>
      <c r="K105" s="76"/>
      <c r="L105" s="76"/>
      <c r="M105" s="50"/>
      <c r="N105" s="76"/>
      <c r="O105" s="77"/>
      <c r="P105" s="73"/>
      <c r="Q105" s="73"/>
      <c r="R105" s="73"/>
      <c r="S105" s="73"/>
      <c r="T105" s="73"/>
      <c r="U105" s="73"/>
      <c r="V105" s="73"/>
      <c r="W105" s="50"/>
      <c r="X105" s="50"/>
      <c r="Y105" s="52"/>
      <c r="Z105" s="52"/>
      <c r="AA105" s="52"/>
      <c r="AB105" s="52"/>
      <c r="AC105" s="50"/>
      <c r="AD105" s="50"/>
    </row>
    <row r="106" spans="1:30" x14ac:dyDescent="0.2">
      <c r="I106" s="70"/>
      <c r="J106" s="76"/>
      <c r="K106" s="76"/>
      <c r="L106" s="76"/>
      <c r="M106" s="50"/>
      <c r="N106" s="76"/>
      <c r="O106" s="73"/>
      <c r="P106" s="73"/>
      <c r="Q106" s="73"/>
      <c r="R106" s="73"/>
      <c r="S106" s="73"/>
      <c r="T106" s="73"/>
      <c r="U106" s="73"/>
      <c r="V106" s="73"/>
      <c r="W106" s="50"/>
      <c r="X106" s="50"/>
      <c r="Y106" s="52"/>
      <c r="Z106" s="52"/>
      <c r="AA106" s="52"/>
      <c r="AB106" s="52"/>
      <c r="AC106" s="50"/>
      <c r="AD106" s="50"/>
    </row>
    <row r="107" spans="1:30" x14ac:dyDescent="0.2">
      <c r="I107" s="75"/>
      <c r="J107" s="75"/>
      <c r="K107" s="75"/>
      <c r="L107" s="75"/>
      <c r="M107" s="51"/>
      <c r="N107" s="75"/>
      <c r="O107" s="73"/>
      <c r="P107" s="73"/>
      <c r="Q107" s="73"/>
      <c r="R107" s="73"/>
      <c r="S107" s="73"/>
      <c r="T107" s="73"/>
      <c r="U107" s="73"/>
      <c r="V107" s="73"/>
      <c r="W107" s="50"/>
      <c r="X107" s="50"/>
      <c r="Y107" s="52"/>
      <c r="Z107" s="52"/>
      <c r="AA107" s="52"/>
      <c r="AB107" s="52"/>
      <c r="AC107" s="50"/>
      <c r="AD107" s="50"/>
    </row>
    <row r="108" spans="1:30" x14ac:dyDescent="0.2">
      <c r="I108" s="27"/>
      <c r="J108" s="27"/>
      <c r="K108" s="27"/>
      <c r="L108" s="27"/>
    </row>
    <row r="109" spans="1:30" x14ac:dyDescent="0.2">
      <c r="I109" s="9"/>
      <c r="N109" s="6"/>
    </row>
    <row r="112" spans="1:30" x14ac:dyDescent="0.2">
      <c r="I112" s="9"/>
      <c r="J112" s="16"/>
      <c r="K112" s="16"/>
      <c r="L112" s="16"/>
    </row>
    <row r="113" spans="9:14" x14ac:dyDescent="0.2">
      <c r="I113" s="9"/>
      <c r="N113" s="6"/>
    </row>
    <row r="114" spans="9:14" x14ac:dyDescent="0.2">
      <c r="I114" s="9"/>
      <c r="J114" s="9"/>
      <c r="K114" s="9"/>
      <c r="L114" s="9"/>
      <c r="M114" s="5"/>
    </row>
    <row r="115" spans="9:14" x14ac:dyDescent="0.2">
      <c r="I115" s="9"/>
      <c r="J115" s="9"/>
      <c r="K115" s="9"/>
      <c r="L115" s="9"/>
      <c r="M115" s="5"/>
    </row>
    <row r="116" spans="9:14" x14ac:dyDescent="0.2">
      <c r="I116" s="9"/>
      <c r="J116" s="9"/>
      <c r="K116" s="9"/>
      <c r="L116" s="9"/>
      <c r="M116" s="5"/>
    </row>
    <row r="118" spans="9:14" x14ac:dyDescent="0.2">
      <c r="N118" s="6"/>
    </row>
    <row r="119" spans="9:14" x14ac:dyDescent="0.2">
      <c r="N119" s="6"/>
    </row>
    <row r="120" spans="9:14" x14ac:dyDescent="0.2">
      <c r="N120" s="6"/>
    </row>
    <row r="121" spans="9:14" x14ac:dyDescent="0.2">
      <c r="N121" s="6"/>
    </row>
    <row r="122" spans="9:14" x14ac:dyDescent="0.2">
      <c r="N122" s="6"/>
    </row>
    <row r="123" spans="9:14" x14ac:dyDescent="0.2">
      <c r="N123" s="6"/>
    </row>
    <row r="124" spans="9:14" x14ac:dyDescent="0.2">
      <c r="N124" s="6"/>
    </row>
    <row r="125" spans="9:14" x14ac:dyDescent="0.2">
      <c r="N125" s="6"/>
    </row>
    <row r="126" spans="9:14" x14ac:dyDescent="0.2">
      <c r="N126" s="6"/>
    </row>
    <row r="127" spans="9:14" x14ac:dyDescent="0.2">
      <c r="N127" s="6"/>
    </row>
    <row r="128" spans="9:14" x14ac:dyDescent="0.2">
      <c r="N128" s="6"/>
    </row>
    <row r="130" spans="4:14" x14ac:dyDescent="0.2">
      <c r="N130" s="6"/>
    </row>
    <row r="131" spans="4:14" x14ac:dyDescent="0.2">
      <c r="N131" s="6"/>
    </row>
    <row r="132" spans="4:14" x14ac:dyDescent="0.2">
      <c r="I132" s="9"/>
      <c r="J132" s="9"/>
      <c r="K132" s="9"/>
      <c r="L132" s="9"/>
      <c r="M132" s="5"/>
    </row>
    <row r="133" spans="4:14" x14ac:dyDescent="0.2">
      <c r="N133" s="6"/>
    </row>
    <row r="134" spans="4:14" x14ac:dyDescent="0.2">
      <c r="N134" s="6"/>
    </row>
    <row r="135" spans="4:14" x14ac:dyDescent="0.2">
      <c r="N135" s="6"/>
    </row>
    <row r="136" spans="4:14" x14ac:dyDescent="0.2">
      <c r="N136" s="6"/>
    </row>
    <row r="137" spans="4:14" x14ac:dyDescent="0.2">
      <c r="D137" s="78"/>
      <c r="E137" s="78"/>
      <c r="F137" s="78"/>
      <c r="G137" s="78"/>
      <c r="H137" s="79"/>
      <c r="N137" s="6"/>
    </row>
    <row r="138" spans="4:14" x14ac:dyDescent="0.2">
      <c r="N138" s="6"/>
    </row>
    <row r="139" spans="4:14" x14ac:dyDescent="0.2">
      <c r="N139" s="6"/>
    </row>
    <row r="140" spans="4:14" x14ac:dyDescent="0.2">
      <c r="N140" s="6"/>
    </row>
    <row r="141" spans="4:14" x14ac:dyDescent="0.2">
      <c r="N141" s="6"/>
    </row>
    <row r="142" spans="4:14" x14ac:dyDescent="0.2">
      <c r="N142" s="6"/>
    </row>
    <row r="143" spans="4:14" x14ac:dyDescent="0.2">
      <c r="I143" s="9"/>
      <c r="J143" s="9"/>
      <c r="K143" s="9"/>
      <c r="L143" s="9"/>
      <c r="M143" s="5"/>
    </row>
    <row r="144" spans="4:14" x14ac:dyDescent="0.2">
      <c r="N144" s="6"/>
    </row>
    <row r="145" spans="14:14" x14ac:dyDescent="0.2">
      <c r="N145" s="6"/>
    </row>
    <row r="146" spans="14:14" x14ac:dyDescent="0.2">
      <c r="N146" s="6"/>
    </row>
    <row r="147" spans="14:14" x14ac:dyDescent="0.2">
      <c r="N147" s="6"/>
    </row>
    <row r="148" spans="14:14" x14ac:dyDescent="0.2">
      <c r="N148" s="6"/>
    </row>
    <row r="153" spans="14:14" x14ac:dyDescent="0.2">
      <c r="N153" s="6"/>
    </row>
    <row r="154" spans="14:14" x14ac:dyDescent="0.2">
      <c r="N154" s="6"/>
    </row>
    <row r="155" spans="14:14" x14ac:dyDescent="0.2">
      <c r="N155" s="6"/>
    </row>
    <row r="179" spans="14:14" x14ac:dyDescent="0.2">
      <c r="N179" s="6"/>
    </row>
    <row r="180" spans="14:14" x14ac:dyDescent="0.2">
      <c r="N180" s="6"/>
    </row>
    <row r="181" spans="14:14" x14ac:dyDescent="0.2">
      <c r="N181" s="6"/>
    </row>
    <row r="182" spans="14:14" x14ac:dyDescent="0.2">
      <c r="N182" s="6"/>
    </row>
    <row r="183" spans="14:14" x14ac:dyDescent="0.2">
      <c r="N183" s="6"/>
    </row>
    <row r="184" spans="14:14" x14ac:dyDescent="0.2">
      <c r="N184" s="6"/>
    </row>
    <row r="185" spans="14:14" x14ac:dyDescent="0.2">
      <c r="N185" s="6"/>
    </row>
    <row r="186" spans="14:14" x14ac:dyDescent="0.2">
      <c r="N186" s="6"/>
    </row>
    <row r="187" spans="14:14" x14ac:dyDescent="0.2">
      <c r="N187" s="6"/>
    </row>
    <row r="189" spans="14:14" x14ac:dyDescent="0.2">
      <c r="N189" s="6"/>
    </row>
    <row r="190" spans="14:14" x14ac:dyDescent="0.2">
      <c r="N190" s="6"/>
    </row>
  </sheetData>
  <sortState ref="A17:AD88">
    <sortCondition ref="A17:A88"/>
  </sortState>
  <mergeCells count="9">
    <mergeCell ref="Y9:Z9"/>
    <mergeCell ref="A6:F8"/>
    <mergeCell ref="A9:E10"/>
    <mergeCell ref="O7:W7"/>
    <mergeCell ref="Y7:AC7"/>
    <mergeCell ref="O9:Q9"/>
    <mergeCell ref="S9:U9"/>
    <mergeCell ref="I8:M8"/>
    <mergeCell ref="I7:M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9"/>
  <sheetViews>
    <sheetView zoomScale="80" zoomScaleNormal="80" workbookViewId="0">
      <pane xSplit="7" ySplit="16" topLeftCell="H77" activePane="bottomRight" state="frozen"/>
      <selection pane="topRight" activeCell="H1" sqref="H1"/>
      <selection pane="bottomLeft" activeCell="A14" sqref="A14"/>
      <selection pane="bottomRight" sqref="A1:G1"/>
    </sheetView>
  </sheetViews>
  <sheetFormatPr defaultRowHeight="12.75" x14ac:dyDescent="0.2"/>
  <cols>
    <col min="1" max="3" width="9.140625" style="50"/>
    <col min="4" max="6" width="13.7109375" style="50" customWidth="1"/>
    <col min="7" max="7" width="11.7109375" style="50" customWidth="1"/>
    <col min="8" max="8" width="5.7109375" style="5" customWidth="1"/>
    <col min="9" max="10" width="8.7109375" style="8" customWidth="1"/>
    <col min="11" max="11" width="5.7109375" style="8" customWidth="1"/>
    <col min="12" max="12" width="10.7109375" style="5" customWidth="1"/>
    <col min="13" max="13" width="9.140625" style="5"/>
    <col min="14" max="15" width="8.7109375" style="8" customWidth="1"/>
    <col min="16" max="16" width="5.7109375" style="8" customWidth="1"/>
    <col min="17" max="18" width="8.7109375" style="8" customWidth="1"/>
    <col min="19" max="19" width="5.7109375" style="8" customWidth="1"/>
    <col min="20" max="20" width="8.7109375" style="5" customWidth="1"/>
    <col min="21" max="21" width="9.140625" style="5"/>
    <col min="22" max="23" width="8.7109375" style="8" customWidth="1"/>
    <col min="24" max="24" width="5.7109375" style="8" customWidth="1"/>
    <col min="25" max="25" width="8.7109375" style="5" customWidth="1"/>
    <col min="26" max="16384" width="9.140625" style="9"/>
  </cols>
  <sheetData>
    <row r="1" spans="1:26" x14ac:dyDescent="0.2">
      <c r="A1" s="260" t="s">
        <v>179</v>
      </c>
      <c r="B1" s="260"/>
      <c r="C1" s="260"/>
      <c r="D1" s="260"/>
      <c r="E1" s="260"/>
      <c r="F1" s="260"/>
      <c r="G1" s="260"/>
    </row>
    <row r="3" spans="1:26" ht="13.5" thickBot="1" x14ac:dyDescent="0.25"/>
    <row r="4" spans="1:26" s="1" customFormat="1" ht="15" customHeight="1" x14ac:dyDescent="0.2">
      <c r="A4" s="229" t="s">
        <v>124</v>
      </c>
      <c r="B4" s="230"/>
      <c r="C4" s="230"/>
      <c r="D4" s="230"/>
      <c r="E4" s="230"/>
      <c r="F4" s="230"/>
      <c r="G4" s="231"/>
      <c r="H4" s="232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7"/>
      <c r="Z4" s="9"/>
    </row>
    <row r="5" spans="1:26" s="1" customFormat="1" ht="15" customHeight="1" x14ac:dyDescent="0.2">
      <c r="A5" s="233"/>
      <c r="B5" s="50"/>
      <c r="C5" s="50"/>
      <c r="D5" s="50"/>
      <c r="E5" s="50"/>
      <c r="F5" s="50"/>
      <c r="G5" s="3"/>
      <c r="H5" s="4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9"/>
      <c r="Z5" s="9"/>
    </row>
    <row r="6" spans="1:26" s="1" customFormat="1" ht="15" customHeight="1" x14ac:dyDescent="0.2">
      <c r="A6" s="263" t="s">
        <v>123</v>
      </c>
      <c r="B6" s="263"/>
      <c r="C6" s="263"/>
      <c r="D6" s="263"/>
      <c r="E6" s="263"/>
      <c r="F6" s="263"/>
      <c r="G6" s="13"/>
      <c r="H6" s="4"/>
      <c r="I6" s="9"/>
      <c r="J6" s="16"/>
      <c r="K6" s="16"/>
      <c r="L6" s="22"/>
      <c r="M6" s="5"/>
      <c r="N6" s="34"/>
      <c r="O6" s="8"/>
      <c r="P6" s="8"/>
      <c r="Q6" s="8"/>
      <c r="R6" s="8"/>
      <c r="S6" s="8"/>
      <c r="T6" s="4"/>
      <c r="U6" s="5"/>
      <c r="V6" s="34"/>
      <c r="W6" s="8"/>
      <c r="X6" s="8"/>
      <c r="Y6" s="4"/>
      <c r="Z6" s="9"/>
    </row>
    <row r="7" spans="1:26" s="1" customFormat="1" ht="15" customHeight="1" x14ac:dyDescent="0.2">
      <c r="A7" s="263"/>
      <c r="B7" s="263"/>
      <c r="C7" s="263"/>
      <c r="D7" s="263"/>
      <c r="E7" s="263"/>
      <c r="F7" s="263"/>
      <c r="G7" s="82"/>
      <c r="H7" s="4"/>
      <c r="I7" s="273" t="s">
        <v>139</v>
      </c>
      <c r="J7" s="271"/>
      <c r="K7" s="271"/>
      <c r="L7" s="272"/>
      <c r="M7" s="16"/>
      <c r="N7" s="265" t="s">
        <v>0</v>
      </c>
      <c r="O7" s="266"/>
      <c r="P7" s="266"/>
      <c r="Q7" s="266"/>
      <c r="R7" s="266"/>
      <c r="S7" s="266"/>
      <c r="T7" s="267"/>
      <c r="U7" s="5"/>
      <c r="V7" s="268" t="s">
        <v>126</v>
      </c>
      <c r="W7" s="269"/>
      <c r="X7" s="269"/>
      <c r="Y7" s="270"/>
    </row>
    <row r="8" spans="1:26" s="1" customFormat="1" ht="15" customHeight="1" x14ac:dyDescent="0.2">
      <c r="A8" s="263"/>
      <c r="B8" s="263"/>
      <c r="C8" s="263"/>
      <c r="D8" s="263"/>
      <c r="E8" s="263"/>
      <c r="F8" s="263"/>
      <c r="G8" s="13"/>
      <c r="H8" s="222"/>
      <c r="I8" s="273" t="s">
        <v>135</v>
      </c>
      <c r="J8" s="271"/>
      <c r="K8" s="271"/>
      <c r="L8" s="272"/>
      <c r="M8" s="16"/>
      <c r="N8" s="220"/>
      <c r="O8" s="221"/>
      <c r="P8" s="221"/>
      <c r="Q8" s="221"/>
      <c r="R8" s="221"/>
      <c r="S8" s="221"/>
      <c r="T8" s="222"/>
      <c r="U8" s="5"/>
      <c r="V8" s="223"/>
      <c r="W8" s="224"/>
      <c r="X8" s="224"/>
      <c r="Y8" s="225"/>
    </row>
    <row r="9" spans="1:26" s="1" customFormat="1" ht="15" customHeight="1" x14ac:dyDescent="0.2">
      <c r="A9" s="264" t="s">
        <v>140</v>
      </c>
      <c r="B9" s="264"/>
      <c r="C9" s="264"/>
      <c r="D9" s="264"/>
      <c r="E9" s="264"/>
      <c r="F9" s="234"/>
      <c r="G9" s="13"/>
      <c r="H9" s="4"/>
      <c r="I9" s="119"/>
      <c r="J9" s="118"/>
      <c r="K9" s="118"/>
      <c r="L9" s="120"/>
      <c r="M9" s="50"/>
      <c r="N9" s="218" t="s">
        <v>2</v>
      </c>
      <c r="O9" s="219"/>
      <c r="P9" s="99"/>
      <c r="Q9" s="219" t="s">
        <v>131</v>
      </c>
      <c r="R9" s="219"/>
      <c r="S9" s="219"/>
      <c r="T9" s="100"/>
      <c r="U9" s="50"/>
      <c r="V9" s="102"/>
      <c r="W9" s="52"/>
      <c r="X9" s="52"/>
      <c r="Y9" s="3"/>
    </row>
    <row r="10" spans="1:26" s="1" customFormat="1" ht="15" customHeight="1" x14ac:dyDescent="0.2">
      <c r="A10" s="264"/>
      <c r="B10" s="264"/>
      <c r="C10" s="264"/>
      <c r="D10" s="264"/>
      <c r="E10" s="264"/>
      <c r="F10" s="234"/>
      <c r="G10" s="13"/>
      <c r="H10" s="4"/>
      <c r="I10" s="18" t="s">
        <v>11</v>
      </c>
      <c r="J10" s="18" t="s">
        <v>12</v>
      </c>
      <c r="K10" s="18"/>
      <c r="L10" s="33" t="s">
        <v>13</v>
      </c>
      <c r="M10" s="5"/>
      <c r="N10" s="38" t="s">
        <v>11</v>
      </c>
      <c r="O10" s="18" t="s">
        <v>12</v>
      </c>
      <c r="P10" s="31"/>
      <c r="Q10" s="18" t="s">
        <v>11</v>
      </c>
      <c r="R10" s="18" t="s">
        <v>12</v>
      </c>
      <c r="S10" s="18"/>
      <c r="T10" s="33" t="s">
        <v>13</v>
      </c>
      <c r="U10" s="5"/>
      <c r="V10" s="38" t="s">
        <v>11</v>
      </c>
      <c r="W10" s="18" t="s">
        <v>12</v>
      </c>
      <c r="X10" s="18"/>
      <c r="Y10" s="33" t="s">
        <v>13</v>
      </c>
    </row>
    <row r="11" spans="1:26" s="1" customFormat="1" ht="15" customHeight="1" x14ac:dyDescent="0.2">
      <c r="A11" s="234"/>
      <c r="B11" s="234"/>
      <c r="C11" s="234"/>
      <c r="D11" s="234"/>
      <c r="E11" s="234"/>
      <c r="F11" s="234"/>
      <c r="G11" s="13"/>
      <c r="H11" s="4"/>
      <c r="I11" s="9"/>
      <c r="J11" s="9"/>
      <c r="K11" s="9"/>
      <c r="L11" s="9"/>
      <c r="M11" s="28"/>
      <c r="N11" s="9"/>
      <c r="O11" s="9"/>
      <c r="P11" s="9"/>
      <c r="Q11" s="9"/>
      <c r="R11" s="9"/>
      <c r="S11" s="9"/>
      <c r="T11" s="9"/>
      <c r="U11" s="28"/>
      <c r="V11" s="9"/>
      <c r="W11" s="9"/>
      <c r="X11" s="9"/>
      <c r="Y11" s="21"/>
    </row>
    <row r="12" spans="1:26" s="1" customFormat="1" ht="15" customHeight="1" x14ac:dyDescent="0.2">
      <c r="A12" s="228" t="s">
        <v>5</v>
      </c>
      <c r="B12" s="228" t="s">
        <v>6</v>
      </c>
      <c r="C12" s="228" t="s">
        <v>7</v>
      </c>
      <c r="D12" s="228" t="s">
        <v>8</v>
      </c>
      <c r="E12" s="221" t="s">
        <v>4</v>
      </c>
      <c r="F12" s="221" t="s">
        <v>9</v>
      </c>
      <c r="G12" s="222" t="s">
        <v>10</v>
      </c>
      <c r="H12" s="23"/>
      <c r="I12" s="18"/>
      <c r="J12" s="18"/>
      <c r="K12" s="18"/>
      <c r="L12" s="33"/>
      <c r="M12" s="5"/>
      <c r="N12" s="38"/>
      <c r="O12" s="18"/>
      <c r="P12" s="31"/>
      <c r="Q12" s="18"/>
      <c r="R12" s="18"/>
      <c r="S12" s="18"/>
      <c r="T12" s="33"/>
      <c r="U12" s="5"/>
      <c r="V12" s="38"/>
      <c r="W12" s="18"/>
      <c r="X12" s="18"/>
      <c r="Y12" s="33"/>
    </row>
    <row r="13" spans="1:26" s="1" customFormat="1" ht="15" customHeight="1" x14ac:dyDescent="0.2">
      <c r="G13" s="21"/>
      <c r="H13" s="28"/>
      <c r="I13" s="10"/>
      <c r="J13" s="10"/>
      <c r="K13" s="10"/>
      <c r="L13" s="45"/>
      <c r="M13" s="46"/>
      <c r="N13" s="20"/>
      <c r="O13" s="10"/>
      <c r="P13" s="10"/>
      <c r="Q13" s="10"/>
      <c r="R13" s="10"/>
      <c r="S13" s="10"/>
      <c r="T13" s="47"/>
      <c r="U13" s="46"/>
      <c r="V13" s="20"/>
      <c r="W13" s="10"/>
      <c r="X13" s="10"/>
      <c r="Y13" s="47"/>
    </row>
    <row r="14" spans="1:26" s="1" customFormat="1" ht="15" customHeight="1" x14ac:dyDescent="0.2">
      <c r="A14" s="25"/>
      <c r="B14" s="25"/>
      <c r="C14" s="25"/>
      <c r="D14" s="88" t="s">
        <v>125</v>
      </c>
      <c r="E14" s="35"/>
      <c r="F14" s="25"/>
      <c r="G14" s="14"/>
      <c r="H14" s="21"/>
      <c r="I14" s="10">
        <v>91.766081501322702</v>
      </c>
      <c r="J14" s="10">
        <v>2.4173493558752721</v>
      </c>
      <c r="K14" s="10"/>
      <c r="L14" s="117">
        <v>1158</v>
      </c>
      <c r="M14" s="46"/>
      <c r="N14" s="20">
        <v>-16.901479708029207</v>
      </c>
      <c r="O14" s="10">
        <v>0.28349594197152594</v>
      </c>
      <c r="P14" s="10"/>
      <c r="Q14" s="10">
        <v>8.1709301355578674</v>
      </c>
      <c r="R14" s="10">
        <v>7.6007641268866721E-2</v>
      </c>
      <c r="S14" s="10"/>
      <c r="T14" s="113">
        <v>959</v>
      </c>
      <c r="U14" s="46"/>
      <c r="V14" s="20">
        <v>0.10657883449760756</v>
      </c>
      <c r="W14" s="10">
        <v>9.0432532639428019E-4</v>
      </c>
      <c r="X14" s="10"/>
      <c r="Y14" s="113">
        <v>1045</v>
      </c>
    </row>
    <row r="15" spans="1:26" s="1" customFormat="1" x14ac:dyDescent="0.2">
      <c r="A15" s="2"/>
      <c r="B15" s="2"/>
      <c r="C15" s="2"/>
      <c r="F15" s="2"/>
      <c r="G15" s="3"/>
      <c r="H15" s="4"/>
      <c r="I15" s="10"/>
      <c r="J15" s="10"/>
      <c r="K15" s="10"/>
      <c r="L15" s="114"/>
      <c r="M15" s="46"/>
      <c r="N15" s="20"/>
      <c r="O15" s="10"/>
      <c r="P15" s="10"/>
      <c r="Q15" s="10"/>
      <c r="R15" s="10"/>
      <c r="S15" s="10"/>
      <c r="T15" s="114"/>
      <c r="U15" s="46"/>
      <c r="V15" s="20"/>
      <c r="W15" s="10"/>
      <c r="X15" s="10"/>
      <c r="Y15" s="114"/>
    </row>
    <row r="16" spans="1:26" s="1" customFormat="1" x14ac:dyDescent="0.2">
      <c r="A16" s="2"/>
      <c r="B16" s="2"/>
      <c r="C16" s="2"/>
      <c r="D16" s="2"/>
      <c r="F16" s="2"/>
      <c r="G16" s="3"/>
      <c r="H16" s="4"/>
      <c r="I16" s="24"/>
      <c r="J16" s="24"/>
      <c r="K16" s="24"/>
      <c r="L16" s="117"/>
      <c r="M16" s="60"/>
      <c r="N16" s="48"/>
      <c r="O16" s="24"/>
      <c r="P16" s="24"/>
      <c r="Q16" s="24"/>
      <c r="R16" s="24"/>
      <c r="S16" s="24"/>
      <c r="T16" s="113"/>
      <c r="U16" s="60"/>
      <c r="V16" s="48"/>
      <c r="W16" s="24"/>
      <c r="X16" s="24"/>
      <c r="Y16" s="113"/>
    </row>
    <row r="17" spans="1:25" s="1" customFormat="1" x14ac:dyDescent="0.2">
      <c r="A17" s="87">
        <v>81</v>
      </c>
      <c r="B17" s="2" t="s">
        <v>17</v>
      </c>
      <c r="C17" s="2" t="s">
        <v>18</v>
      </c>
      <c r="D17" s="54" t="s">
        <v>19</v>
      </c>
      <c r="E17" s="26" t="s">
        <v>14</v>
      </c>
      <c r="F17" s="50" t="s">
        <v>3</v>
      </c>
      <c r="G17" s="3"/>
      <c r="H17" s="4"/>
      <c r="I17" s="24">
        <v>62.468779306941883</v>
      </c>
      <c r="J17" s="24">
        <v>7.6303685215451802</v>
      </c>
      <c r="K17" s="24"/>
      <c r="L17" s="117">
        <v>47</v>
      </c>
      <c r="M17" s="60"/>
      <c r="N17" s="48">
        <v>-22.76</v>
      </c>
      <c r="O17" s="24">
        <v>0.76053025697666932</v>
      </c>
      <c r="P17" s="24"/>
      <c r="Q17" s="24">
        <v>7.7506190476190495</v>
      </c>
      <c r="R17" s="24">
        <v>0.30171160775421929</v>
      </c>
      <c r="S17" s="24"/>
      <c r="T17" s="113">
        <v>42</v>
      </c>
      <c r="U17" s="60"/>
      <c r="V17" s="48">
        <v>0.10334264342105265</v>
      </c>
      <c r="W17" s="24">
        <v>3.5902592915020111E-3</v>
      </c>
      <c r="X17" s="24"/>
      <c r="Y17" s="113">
        <v>38</v>
      </c>
    </row>
    <row r="18" spans="1:25" s="1" customFormat="1" ht="12.75" customHeight="1" x14ac:dyDescent="0.2">
      <c r="A18" s="87">
        <v>104</v>
      </c>
      <c r="B18" s="2" t="s">
        <v>22</v>
      </c>
      <c r="C18" s="2" t="s">
        <v>17</v>
      </c>
      <c r="D18" s="54" t="s">
        <v>23</v>
      </c>
      <c r="E18" s="26" t="s">
        <v>21</v>
      </c>
      <c r="F18" s="50" t="s">
        <v>1</v>
      </c>
      <c r="G18" s="3"/>
      <c r="H18" s="4"/>
      <c r="I18" s="24">
        <v>99.597478550602958</v>
      </c>
      <c r="J18" s="24">
        <v>14.373706630925598</v>
      </c>
      <c r="K18" s="24"/>
      <c r="L18" s="117">
        <v>27</v>
      </c>
      <c r="M18" s="60"/>
      <c r="N18" s="48">
        <v>-16.856800000000003</v>
      </c>
      <c r="O18" s="24">
        <v>0.56563672676609478</v>
      </c>
      <c r="P18" s="24"/>
      <c r="Q18" s="24">
        <v>8.0949199999999983</v>
      </c>
      <c r="R18" s="24">
        <v>0.26919161651136336</v>
      </c>
      <c r="S18" s="24"/>
      <c r="T18" s="113">
        <v>25</v>
      </c>
      <c r="U18" s="60"/>
      <c r="V18" s="48">
        <v>0.11224695962962966</v>
      </c>
      <c r="W18" s="24">
        <v>5.201739148661344E-3</v>
      </c>
      <c r="X18" s="24"/>
      <c r="Y18" s="113">
        <v>27</v>
      </c>
    </row>
    <row r="19" spans="1:25" s="1" customFormat="1" x14ac:dyDescent="0.2">
      <c r="A19" s="87">
        <v>113</v>
      </c>
      <c r="B19" s="2" t="s">
        <v>25</v>
      </c>
      <c r="C19" s="2" t="s">
        <v>22</v>
      </c>
      <c r="D19" s="54" t="s">
        <v>26</v>
      </c>
      <c r="E19" s="26" t="s">
        <v>24</v>
      </c>
      <c r="F19" s="50" t="s">
        <v>133</v>
      </c>
      <c r="G19" s="3"/>
      <c r="H19" s="4"/>
      <c r="I19" s="24">
        <v>87.50091204008551</v>
      </c>
      <c r="J19" s="24">
        <v>9.8244520588294897</v>
      </c>
      <c r="K19" s="24"/>
      <c r="L19" s="117">
        <v>35</v>
      </c>
      <c r="M19" s="60"/>
      <c r="N19" s="48">
        <v>-9.354923666666668</v>
      </c>
      <c r="O19" s="24">
        <v>2.0501776684044914</v>
      </c>
      <c r="P19" s="24"/>
      <c r="Q19" s="24">
        <v>12.393633333333332</v>
      </c>
      <c r="R19" s="24">
        <v>0.66562924077040297</v>
      </c>
      <c r="S19" s="24"/>
      <c r="T19" s="113">
        <v>30</v>
      </c>
      <c r="U19" s="60"/>
      <c r="V19" s="48">
        <v>0.18742796029411762</v>
      </c>
      <c r="W19" s="24">
        <v>9.40441738111116E-3</v>
      </c>
      <c r="X19" s="24"/>
      <c r="Y19" s="113">
        <v>34</v>
      </c>
    </row>
    <row r="20" spans="1:25" s="1" customFormat="1" x14ac:dyDescent="0.2">
      <c r="A20" s="87">
        <v>130</v>
      </c>
      <c r="B20" s="2" t="s">
        <v>29</v>
      </c>
      <c r="C20" s="2" t="s">
        <v>30</v>
      </c>
      <c r="D20" s="54" t="s">
        <v>31</v>
      </c>
      <c r="E20" s="26" t="s">
        <v>28</v>
      </c>
      <c r="F20" s="50" t="s">
        <v>133</v>
      </c>
      <c r="G20" s="92" t="s">
        <v>122</v>
      </c>
      <c r="H20" s="4"/>
      <c r="I20" s="24">
        <v>52.208611441051758</v>
      </c>
      <c r="J20" s="24">
        <v>4.8666253843992866</v>
      </c>
      <c r="K20" s="24"/>
      <c r="L20" s="117">
        <v>64</v>
      </c>
      <c r="M20" s="60"/>
      <c r="N20" s="48">
        <v>-18.8991090909091</v>
      </c>
      <c r="O20" s="24">
        <v>0.65340547358506507</v>
      </c>
      <c r="P20" s="24"/>
      <c r="Q20" s="24">
        <v>8.2726363636363622</v>
      </c>
      <c r="R20" s="24">
        <v>0.24885318561147809</v>
      </c>
      <c r="S20" s="24"/>
      <c r="T20" s="113">
        <v>55</v>
      </c>
      <c r="U20" s="60"/>
      <c r="V20" s="48">
        <v>0.10960691016949153</v>
      </c>
      <c r="W20" s="24">
        <v>3.4677410094855173E-3</v>
      </c>
      <c r="X20" s="24"/>
      <c r="Y20" s="113">
        <v>59</v>
      </c>
    </row>
    <row r="21" spans="1:25" s="1" customFormat="1" x14ac:dyDescent="0.2">
      <c r="A21" s="87">
        <v>144</v>
      </c>
      <c r="B21" s="2" t="s">
        <v>33</v>
      </c>
      <c r="C21" s="2" t="s">
        <v>34</v>
      </c>
      <c r="D21" s="54" t="s">
        <v>35</v>
      </c>
      <c r="E21" s="26" t="s">
        <v>32</v>
      </c>
      <c r="F21" s="50" t="s">
        <v>133</v>
      </c>
      <c r="G21" s="92" t="s">
        <v>122</v>
      </c>
      <c r="H21" s="4"/>
      <c r="I21" s="24">
        <v>78.959842058159495</v>
      </c>
      <c r="J21" s="24">
        <v>10.569047120024017</v>
      </c>
      <c r="K21" s="24"/>
      <c r="L21" s="117">
        <v>64</v>
      </c>
      <c r="M21" s="60"/>
      <c r="N21" s="48">
        <v>-16.846127659574467</v>
      </c>
      <c r="O21" s="24">
        <v>0.98312859769651428</v>
      </c>
      <c r="P21" s="24"/>
      <c r="Q21" s="24">
        <v>8.821489361702131</v>
      </c>
      <c r="R21" s="24">
        <v>0.38897453463698434</v>
      </c>
      <c r="S21" s="24"/>
      <c r="T21" s="113">
        <v>47</v>
      </c>
      <c r="U21" s="60"/>
      <c r="V21" s="48">
        <v>0.10641463408163264</v>
      </c>
      <c r="W21" s="24">
        <v>3.2571505698407175E-3</v>
      </c>
      <c r="X21" s="24"/>
      <c r="Y21" s="113">
        <v>49</v>
      </c>
    </row>
    <row r="22" spans="1:25" s="1" customFormat="1" ht="13.5" customHeight="1" x14ac:dyDescent="0.2">
      <c r="A22" s="87">
        <v>144</v>
      </c>
      <c r="B22" s="2" t="s">
        <v>33</v>
      </c>
      <c r="C22" s="2" t="s">
        <v>36</v>
      </c>
      <c r="D22" s="54" t="s">
        <v>37</v>
      </c>
      <c r="E22" s="26" t="s">
        <v>32</v>
      </c>
      <c r="F22" s="50" t="s">
        <v>133</v>
      </c>
      <c r="G22" s="92"/>
      <c r="H22" s="4"/>
      <c r="I22" s="24">
        <v>73.923978604899034</v>
      </c>
      <c r="J22" s="24">
        <v>8.4371564231897977</v>
      </c>
      <c r="K22" s="24"/>
      <c r="L22" s="117">
        <v>78</v>
      </c>
      <c r="M22" s="60"/>
      <c r="N22" s="48">
        <v>-22.446786885245899</v>
      </c>
      <c r="O22" s="24">
        <v>0.81547541972275173</v>
      </c>
      <c r="P22" s="24"/>
      <c r="Q22" s="96">
        <v>8.2249180327868849</v>
      </c>
      <c r="R22" s="96">
        <v>0.32790848824630775</v>
      </c>
      <c r="S22" s="96"/>
      <c r="T22" s="113">
        <v>61</v>
      </c>
      <c r="U22" s="60"/>
      <c r="V22" s="48">
        <v>0.10958966384615385</v>
      </c>
      <c r="W22" s="24">
        <v>3.4359011912756302E-3</v>
      </c>
      <c r="X22" s="24"/>
      <c r="Y22" s="113">
        <v>65</v>
      </c>
    </row>
    <row r="23" spans="1:25" s="1" customFormat="1" x14ac:dyDescent="0.2">
      <c r="A23" s="87">
        <v>193</v>
      </c>
      <c r="B23" s="2" t="s">
        <v>15</v>
      </c>
      <c r="C23" s="2" t="s">
        <v>39</v>
      </c>
      <c r="D23" s="54" t="s">
        <v>40</v>
      </c>
      <c r="E23" s="26" t="s">
        <v>38</v>
      </c>
      <c r="F23" s="50" t="s">
        <v>133</v>
      </c>
      <c r="G23" s="3"/>
      <c r="H23" s="4"/>
      <c r="I23" s="24">
        <v>29.196394854806513</v>
      </c>
      <c r="J23" s="24">
        <v>10.453698106773738</v>
      </c>
      <c r="K23" s="24"/>
      <c r="L23" s="117">
        <v>30</v>
      </c>
      <c r="M23" s="60"/>
      <c r="N23" s="48">
        <v>-27.28153846153846</v>
      </c>
      <c r="O23" s="24">
        <v>2.0449972873638376</v>
      </c>
      <c r="P23" s="24"/>
      <c r="Q23" s="24">
        <v>10.252153846153847</v>
      </c>
      <c r="R23" s="24">
        <v>1.6266150863228988</v>
      </c>
      <c r="S23" s="24"/>
      <c r="T23" s="113">
        <v>13</v>
      </c>
      <c r="U23" s="60"/>
      <c r="V23" s="48">
        <v>0.16704082461538464</v>
      </c>
      <c r="W23" s="24">
        <v>3.0748559490791007E-2</v>
      </c>
      <c r="X23" s="24"/>
      <c r="Y23" s="113">
        <v>13</v>
      </c>
    </row>
    <row r="24" spans="1:25" s="1" customFormat="1" x14ac:dyDescent="0.2">
      <c r="A24" s="87">
        <v>196</v>
      </c>
      <c r="B24" s="2" t="s">
        <v>15</v>
      </c>
      <c r="C24" s="2" t="s">
        <v>16</v>
      </c>
      <c r="D24" s="54" t="s">
        <v>42</v>
      </c>
      <c r="E24" s="26" t="s">
        <v>41</v>
      </c>
      <c r="F24" s="50" t="s">
        <v>136</v>
      </c>
      <c r="G24" s="92" t="s">
        <v>122</v>
      </c>
      <c r="H24" s="4"/>
      <c r="I24" s="24">
        <v>65.575599092206716</v>
      </c>
      <c r="J24" s="24">
        <v>7.940591509013549</v>
      </c>
      <c r="K24" s="24"/>
      <c r="L24" s="117">
        <v>41</v>
      </c>
      <c r="M24" s="60"/>
      <c r="N24" s="48">
        <v>-7.4479171428571425</v>
      </c>
      <c r="O24" s="24">
        <v>1.1957527095915601</v>
      </c>
      <c r="P24" s="24"/>
      <c r="Q24" s="24">
        <v>9.8147714285714294</v>
      </c>
      <c r="R24" s="24">
        <v>0.40144388995563463</v>
      </c>
      <c r="S24" s="24"/>
      <c r="T24" s="113">
        <v>35</v>
      </c>
      <c r="U24" s="60"/>
      <c r="V24" s="48">
        <v>0.10222544621621621</v>
      </c>
      <c r="W24" s="24">
        <v>4.4563479168899436E-3</v>
      </c>
      <c r="X24" s="24"/>
      <c r="Y24" s="113">
        <v>37</v>
      </c>
    </row>
    <row r="25" spans="1:25" s="1" customFormat="1" x14ac:dyDescent="0.2">
      <c r="A25" s="87">
        <v>198</v>
      </c>
      <c r="B25" s="2" t="s">
        <v>33</v>
      </c>
      <c r="C25" s="2" t="s">
        <v>34</v>
      </c>
      <c r="D25" s="54" t="s">
        <v>43</v>
      </c>
      <c r="E25" s="26" t="s">
        <v>41</v>
      </c>
      <c r="F25" s="50" t="s">
        <v>133</v>
      </c>
      <c r="G25" s="92" t="s">
        <v>122</v>
      </c>
      <c r="H25" s="4"/>
      <c r="I25" s="24">
        <v>160.81430716333998</v>
      </c>
      <c r="J25" s="24">
        <v>25.490180461286286</v>
      </c>
      <c r="K25" s="24"/>
      <c r="L25" s="117">
        <v>31</v>
      </c>
      <c r="M25" s="60"/>
      <c r="N25" s="48">
        <v>-28.776923076923079</v>
      </c>
      <c r="O25" s="24">
        <v>1.3242422238607285</v>
      </c>
      <c r="P25" s="24"/>
      <c r="Q25" s="24">
        <v>9.6113076923076921</v>
      </c>
      <c r="R25" s="24">
        <v>0.41021521844488779</v>
      </c>
      <c r="S25" s="24"/>
      <c r="T25" s="113">
        <v>26</v>
      </c>
      <c r="U25" s="60"/>
      <c r="V25" s="48">
        <v>9.6560345769230754E-2</v>
      </c>
      <c r="W25" s="24">
        <v>4.152763282026694E-3</v>
      </c>
      <c r="X25" s="24"/>
      <c r="Y25" s="113">
        <v>26</v>
      </c>
    </row>
    <row r="26" spans="1:25" s="1" customFormat="1" x14ac:dyDescent="0.2">
      <c r="A26" s="87">
        <v>201</v>
      </c>
      <c r="B26" s="2" t="s">
        <v>33</v>
      </c>
      <c r="C26" s="2" t="s">
        <v>44</v>
      </c>
      <c r="D26" s="54" t="s">
        <v>45</v>
      </c>
      <c r="E26" s="26" t="s">
        <v>41</v>
      </c>
      <c r="F26" s="50" t="s">
        <v>133</v>
      </c>
      <c r="G26" s="92" t="s">
        <v>122</v>
      </c>
      <c r="H26" s="3"/>
      <c r="I26" s="24">
        <v>111.61316537905788</v>
      </c>
      <c r="J26" s="24">
        <v>15.961239426552289</v>
      </c>
      <c r="K26" s="24"/>
      <c r="L26" s="117">
        <v>38</v>
      </c>
      <c r="M26" s="60"/>
      <c r="N26" s="48">
        <v>-23.470000000000006</v>
      </c>
      <c r="O26" s="24">
        <v>1.3459102248416583</v>
      </c>
      <c r="P26" s="24"/>
      <c r="Q26" s="24">
        <v>10.433759999999999</v>
      </c>
      <c r="R26" s="24">
        <v>0.66396228627837073</v>
      </c>
      <c r="S26" s="24"/>
      <c r="T26" s="113">
        <v>25</v>
      </c>
      <c r="U26" s="60"/>
      <c r="V26" s="48">
        <v>0.1688491487096774</v>
      </c>
      <c r="W26" s="24">
        <v>9.5561255343852604E-3</v>
      </c>
      <c r="X26" s="24"/>
      <c r="Y26" s="113">
        <v>31</v>
      </c>
    </row>
    <row r="27" spans="1:25" x14ac:dyDescent="0.2">
      <c r="A27" s="87">
        <v>201</v>
      </c>
      <c r="B27" s="2" t="s">
        <v>33</v>
      </c>
      <c r="C27" s="2" t="s">
        <v>46</v>
      </c>
      <c r="D27" s="54" t="s">
        <v>47</v>
      </c>
      <c r="E27" s="26" t="s">
        <v>41</v>
      </c>
      <c r="F27" s="50" t="s">
        <v>133</v>
      </c>
      <c r="G27" s="92" t="s">
        <v>122</v>
      </c>
      <c r="H27" s="4"/>
      <c r="I27" s="24">
        <v>102.54986949435036</v>
      </c>
      <c r="J27" s="24">
        <v>20.537505614905427</v>
      </c>
      <c r="K27" s="24"/>
      <c r="L27" s="117">
        <v>19</v>
      </c>
      <c r="M27" s="60"/>
      <c r="N27" s="48">
        <v>-35.67588235294118</v>
      </c>
      <c r="O27" s="24">
        <v>1.6417691450400493</v>
      </c>
      <c r="P27" s="24"/>
      <c r="Q27" s="24">
        <v>8.6591764705882355</v>
      </c>
      <c r="R27" s="24">
        <v>0.65492362169913865</v>
      </c>
      <c r="S27" s="24"/>
      <c r="T27" s="113">
        <v>17</v>
      </c>
      <c r="U27" s="60"/>
      <c r="V27" s="48">
        <v>0.15605953117647059</v>
      </c>
      <c r="W27" s="24">
        <v>8.5479399687521905E-3</v>
      </c>
      <c r="X27" s="24"/>
      <c r="Y27" s="113">
        <v>17</v>
      </c>
    </row>
    <row r="28" spans="1:25" x14ac:dyDescent="0.2">
      <c r="A28" s="87">
        <v>203</v>
      </c>
      <c r="B28" s="2" t="s">
        <v>17</v>
      </c>
      <c r="C28" s="2" t="s">
        <v>18</v>
      </c>
      <c r="D28" s="54" t="s">
        <v>48</v>
      </c>
      <c r="E28" s="26" t="s">
        <v>41</v>
      </c>
      <c r="F28" s="50" t="s">
        <v>133</v>
      </c>
      <c r="G28" s="3"/>
      <c r="H28" s="4"/>
      <c r="I28" s="24">
        <v>92.889914572012515</v>
      </c>
      <c r="J28" s="24">
        <v>13.876324318272056</v>
      </c>
      <c r="K28" s="24"/>
      <c r="L28" s="117">
        <v>21</v>
      </c>
      <c r="M28" s="60"/>
      <c r="N28" s="48">
        <v>-7.5666095000000011</v>
      </c>
      <c r="O28" s="24">
        <v>1.6848455709073278</v>
      </c>
      <c r="P28" s="24"/>
      <c r="Q28" s="24">
        <v>11.984200000000001</v>
      </c>
      <c r="R28" s="24">
        <v>0.63912826980439119</v>
      </c>
      <c r="S28" s="24"/>
      <c r="T28" s="113">
        <v>20</v>
      </c>
      <c r="U28" s="60"/>
      <c r="V28" s="48">
        <v>0.14932790045454547</v>
      </c>
      <c r="W28" s="24">
        <v>6.5259702091125908E-3</v>
      </c>
      <c r="X28" s="24"/>
      <c r="Y28" s="113">
        <v>22</v>
      </c>
    </row>
    <row r="29" spans="1:25" s="26" customFormat="1" x14ac:dyDescent="0.2">
      <c r="A29" s="87">
        <v>204</v>
      </c>
      <c r="B29" s="2" t="s">
        <v>34</v>
      </c>
      <c r="C29" s="2" t="s">
        <v>46</v>
      </c>
      <c r="D29" s="54" t="s">
        <v>49</v>
      </c>
      <c r="E29" s="26" t="s">
        <v>41</v>
      </c>
      <c r="F29" s="50" t="s">
        <v>3</v>
      </c>
      <c r="G29" s="3"/>
      <c r="H29" s="4"/>
      <c r="I29" s="24">
        <v>122.54164984641196</v>
      </c>
      <c r="J29" s="24">
        <v>15.114110400982891</v>
      </c>
      <c r="K29" s="24"/>
      <c r="L29" s="117">
        <v>33</v>
      </c>
      <c r="M29" s="60"/>
      <c r="N29" s="48">
        <v>-16.545058823529416</v>
      </c>
      <c r="O29" s="24">
        <v>0.76902102261802607</v>
      </c>
      <c r="P29" s="24"/>
      <c r="Q29" s="24">
        <v>8.1295000000000002</v>
      </c>
      <c r="R29" s="24">
        <v>0.29368785875125347</v>
      </c>
      <c r="S29" s="24"/>
      <c r="T29" s="113">
        <v>34</v>
      </c>
      <c r="U29" s="60"/>
      <c r="V29" s="48">
        <v>0.11602822512820514</v>
      </c>
      <c r="W29" s="24">
        <v>2.6322343628795881E-3</v>
      </c>
      <c r="X29" s="24"/>
      <c r="Y29" s="113">
        <v>39</v>
      </c>
    </row>
    <row r="30" spans="1:25" s="26" customFormat="1" x14ac:dyDescent="0.2">
      <c r="A30" s="87">
        <v>207</v>
      </c>
      <c r="B30" s="2" t="s">
        <v>33</v>
      </c>
      <c r="C30" s="2" t="s">
        <v>34</v>
      </c>
      <c r="D30" s="54" t="s">
        <v>50</v>
      </c>
      <c r="E30" s="26" t="s">
        <v>41</v>
      </c>
      <c r="F30" s="50" t="s">
        <v>3</v>
      </c>
      <c r="G30" s="92" t="s">
        <v>122</v>
      </c>
      <c r="H30" s="4"/>
      <c r="I30" s="24">
        <v>83.505432788970239</v>
      </c>
      <c r="J30" s="24">
        <v>8.4772591235139956</v>
      </c>
      <c r="K30" s="24"/>
      <c r="L30" s="117">
        <v>81</v>
      </c>
      <c r="M30" s="12"/>
      <c r="N30" s="48">
        <v>-8.4402548387096825</v>
      </c>
      <c r="O30" s="24">
        <v>0.70460494604261503</v>
      </c>
      <c r="P30" s="24"/>
      <c r="Q30" s="24">
        <v>9.7878709677419344</v>
      </c>
      <c r="R30" s="24">
        <v>0.2137213048132518</v>
      </c>
      <c r="S30" s="24"/>
      <c r="T30" s="113">
        <v>62</v>
      </c>
      <c r="U30" s="12"/>
      <c r="V30" s="48">
        <v>0.16563754354430377</v>
      </c>
      <c r="W30" s="24">
        <v>4.2086627844580473E-3</v>
      </c>
      <c r="X30" s="24"/>
      <c r="Y30" s="113">
        <v>79</v>
      </c>
    </row>
    <row r="31" spans="1:25" s="26" customFormat="1" x14ac:dyDescent="0.2">
      <c r="A31" s="87">
        <v>207</v>
      </c>
      <c r="B31" s="2" t="s">
        <v>33</v>
      </c>
      <c r="C31" s="2" t="s">
        <v>36</v>
      </c>
      <c r="D31" s="54" t="s">
        <v>51</v>
      </c>
      <c r="E31" s="26" t="s">
        <v>41</v>
      </c>
      <c r="F31" s="50" t="s">
        <v>3</v>
      </c>
      <c r="G31" s="92" t="s">
        <v>122</v>
      </c>
      <c r="H31" s="4"/>
      <c r="I31" s="24">
        <v>67.982039192916716</v>
      </c>
      <c r="J31" s="24">
        <v>6.1318961035015107</v>
      </c>
      <c r="K31" s="24"/>
      <c r="L31" s="117">
        <v>65</v>
      </c>
      <c r="M31" s="12"/>
      <c r="N31" s="48">
        <v>-2.8834343859649123</v>
      </c>
      <c r="O31" s="24">
        <v>1.0159891107530004</v>
      </c>
      <c r="P31" s="24"/>
      <c r="Q31" s="24">
        <v>12.195543859649122</v>
      </c>
      <c r="R31" s="24">
        <v>0.35852644770381753</v>
      </c>
      <c r="S31" s="24"/>
      <c r="T31" s="113">
        <v>57</v>
      </c>
      <c r="U31" s="12"/>
      <c r="V31" s="48">
        <v>0.34740933787878792</v>
      </c>
      <c r="W31" s="24">
        <v>1.3743761645686333E-2</v>
      </c>
      <c r="X31" s="24"/>
      <c r="Y31" s="113">
        <v>66</v>
      </c>
    </row>
    <row r="32" spans="1:25" s="26" customFormat="1" x14ac:dyDescent="0.2">
      <c r="A32" s="87">
        <v>210</v>
      </c>
      <c r="B32" s="2" t="s">
        <v>33</v>
      </c>
      <c r="C32" s="2" t="s">
        <v>46</v>
      </c>
      <c r="D32" s="54" t="s">
        <v>52</v>
      </c>
      <c r="E32" s="26" t="s">
        <v>41</v>
      </c>
      <c r="F32" s="50" t="s">
        <v>133</v>
      </c>
      <c r="G32" s="3"/>
      <c r="H32" s="4"/>
      <c r="I32" s="24">
        <v>60.891529790711431</v>
      </c>
      <c r="J32" s="24">
        <v>8.0900873612171402</v>
      </c>
      <c r="K32" s="24"/>
      <c r="L32" s="117">
        <v>46</v>
      </c>
      <c r="M32" s="60"/>
      <c r="N32" s="48">
        <v>-13.00369230769231</v>
      </c>
      <c r="O32" s="24">
        <v>1.1493508630594247</v>
      </c>
      <c r="P32" s="24"/>
      <c r="Q32" s="24">
        <v>11.354564102564103</v>
      </c>
      <c r="R32" s="24">
        <v>0.47127623663956225</v>
      </c>
      <c r="S32" s="24"/>
      <c r="T32" s="113">
        <v>39</v>
      </c>
      <c r="U32" s="60"/>
      <c r="V32" s="48">
        <v>8.0296518421052648E-2</v>
      </c>
      <c r="W32" s="24">
        <v>3.3847479089370172E-3</v>
      </c>
      <c r="X32" s="24"/>
      <c r="Y32" s="113">
        <v>38</v>
      </c>
    </row>
    <row r="33" spans="1:25" s="26" customFormat="1" x14ac:dyDescent="0.2">
      <c r="A33" s="87">
        <v>212</v>
      </c>
      <c r="B33" s="2" t="s">
        <v>39</v>
      </c>
      <c r="C33" s="2" t="s">
        <v>53</v>
      </c>
      <c r="D33" s="54" t="s">
        <v>54</v>
      </c>
      <c r="E33" s="26" t="s">
        <v>41</v>
      </c>
      <c r="F33" s="50" t="s">
        <v>3</v>
      </c>
      <c r="G33" s="3"/>
      <c r="H33" s="4"/>
      <c r="I33" s="24">
        <v>68.645653460009029</v>
      </c>
      <c r="J33" s="24">
        <v>7.8962598901521188</v>
      </c>
      <c r="K33" s="24"/>
      <c r="L33" s="117">
        <v>84</v>
      </c>
      <c r="M33" s="60"/>
      <c r="N33" s="48">
        <v>-10.953508474576271</v>
      </c>
      <c r="O33" s="24">
        <v>0.8542709112539536</v>
      </c>
      <c r="P33" s="24"/>
      <c r="Q33" s="24">
        <v>8.3805593220338981</v>
      </c>
      <c r="R33" s="24">
        <v>0.3183924235924035</v>
      </c>
      <c r="S33" s="24"/>
      <c r="T33" s="113">
        <v>59</v>
      </c>
      <c r="U33" s="60"/>
      <c r="V33" s="48">
        <v>0.11047441191176469</v>
      </c>
      <c r="W33" s="24">
        <v>4.3835525753733095E-3</v>
      </c>
      <c r="X33" s="24"/>
      <c r="Y33" s="113">
        <v>68</v>
      </c>
    </row>
    <row r="34" spans="1:25" s="26" customFormat="1" x14ac:dyDescent="0.2">
      <c r="A34" s="87">
        <v>212</v>
      </c>
      <c r="B34" s="2" t="s">
        <v>39</v>
      </c>
      <c r="C34" s="2" t="s">
        <v>55</v>
      </c>
      <c r="D34" s="54" t="s">
        <v>56</v>
      </c>
      <c r="E34" s="26" t="s">
        <v>41</v>
      </c>
      <c r="F34" s="50" t="s">
        <v>133</v>
      </c>
      <c r="G34" s="3"/>
      <c r="H34" s="4"/>
      <c r="I34" s="24">
        <v>53.745020491130724</v>
      </c>
      <c r="J34" s="24">
        <v>5.8206984435502012</v>
      </c>
      <c r="K34" s="24"/>
      <c r="L34" s="117">
        <v>42</v>
      </c>
      <c r="M34" s="60"/>
      <c r="N34" s="48">
        <v>-27.344722222222224</v>
      </c>
      <c r="O34" s="24">
        <v>0.71637995218364869</v>
      </c>
      <c r="P34" s="24"/>
      <c r="Q34" s="24">
        <v>8.3326388888888889</v>
      </c>
      <c r="R34" s="24">
        <v>0.40502097565273654</v>
      </c>
      <c r="S34" s="24"/>
      <c r="T34" s="113">
        <v>36</v>
      </c>
      <c r="U34" s="60"/>
      <c r="V34" s="48">
        <v>0.10960943909090909</v>
      </c>
      <c r="W34" s="24">
        <v>3.3306426684220083E-3</v>
      </c>
      <c r="X34" s="24"/>
      <c r="Y34" s="113">
        <v>33</v>
      </c>
    </row>
    <row r="35" spans="1:25" s="26" customFormat="1" x14ac:dyDescent="0.2">
      <c r="A35" s="87">
        <v>214</v>
      </c>
      <c r="B35" s="2" t="s">
        <v>33</v>
      </c>
      <c r="C35" s="2" t="s">
        <v>36</v>
      </c>
      <c r="D35" s="54" t="s">
        <v>57</v>
      </c>
      <c r="E35" s="26" t="s">
        <v>41</v>
      </c>
      <c r="F35" s="50" t="s">
        <v>133</v>
      </c>
      <c r="G35" s="92" t="s">
        <v>122</v>
      </c>
      <c r="H35" s="4"/>
      <c r="I35" s="24">
        <v>44.637835470466513</v>
      </c>
      <c r="J35" s="24">
        <v>5.4345901800540659</v>
      </c>
      <c r="K35" s="24"/>
      <c r="L35" s="117">
        <v>71</v>
      </c>
      <c r="M35" s="60"/>
      <c r="N35" s="48">
        <v>-15.243184444444445</v>
      </c>
      <c r="O35" s="24">
        <v>1.123405969857139</v>
      </c>
      <c r="P35" s="24"/>
      <c r="Q35" s="24">
        <v>7.1171111111111109</v>
      </c>
      <c r="R35" s="24">
        <v>0.26086229430123348</v>
      </c>
      <c r="S35" s="24"/>
      <c r="T35" s="113">
        <v>45</v>
      </c>
      <c r="U35" s="60"/>
      <c r="V35" s="48">
        <v>0.11617922678571427</v>
      </c>
      <c r="W35" s="24">
        <v>5.3993377934559057E-3</v>
      </c>
      <c r="X35" s="24"/>
      <c r="Y35" s="113">
        <v>56</v>
      </c>
    </row>
    <row r="36" spans="1:25" s="26" customFormat="1" x14ac:dyDescent="0.2">
      <c r="A36" s="87">
        <v>228</v>
      </c>
      <c r="B36" s="2" t="s">
        <v>46</v>
      </c>
      <c r="C36" s="2" t="s">
        <v>34</v>
      </c>
      <c r="D36" s="54" t="s">
        <v>60</v>
      </c>
      <c r="E36" s="26" t="s">
        <v>58</v>
      </c>
      <c r="F36" s="50" t="s">
        <v>3</v>
      </c>
      <c r="G36" s="3"/>
      <c r="H36" s="4"/>
      <c r="I36" s="24">
        <v>32.6352203663157</v>
      </c>
      <c r="J36" s="24">
        <v>4.5240810293630922</v>
      </c>
      <c r="K36" s="24"/>
      <c r="L36" s="117">
        <v>54</v>
      </c>
      <c r="M36" s="60"/>
      <c r="N36" s="48">
        <v>-26.456318181818187</v>
      </c>
      <c r="O36" s="24">
        <v>1.0622571065595572</v>
      </c>
      <c r="P36" s="24"/>
      <c r="Q36" s="24">
        <v>7.6736590909090925</v>
      </c>
      <c r="R36" s="24">
        <v>0.38689331822381906</v>
      </c>
      <c r="S36" s="24"/>
      <c r="T36" s="113">
        <v>44</v>
      </c>
      <c r="U36" s="60"/>
      <c r="V36" s="48">
        <v>0.12248073342105263</v>
      </c>
      <c r="W36" s="24">
        <v>7.2003040023744082E-3</v>
      </c>
      <c r="X36" s="24"/>
      <c r="Y36" s="113">
        <v>38</v>
      </c>
    </row>
    <row r="37" spans="1:25" s="26" customFormat="1" x14ac:dyDescent="0.2">
      <c r="A37" s="87">
        <v>228</v>
      </c>
      <c r="B37" s="2" t="s">
        <v>46</v>
      </c>
      <c r="C37" s="2" t="s">
        <v>33</v>
      </c>
      <c r="D37" s="54" t="s">
        <v>59</v>
      </c>
      <c r="E37" s="26" t="s">
        <v>58</v>
      </c>
      <c r="F37" s="50" t="s">
        <v>133</v>
      </c>
      <c r="G37" s="3"/>
      <c r="H37" s="4"/>
      <c r="I37" s="24">
        <v>105.45514531971418</v>
      </c>
      <c r="J37" s="24">
        <v>14.560565402462027</v>
      </c>
      <c r="K37" s="24"/>
      <c r="L37" s="117">
        <v>43</v>
      </c>
      <c r="M37" s="60"/>
      <c r="N37" s="48">
        <v>-23.130526315789471</v>
      </c>
      <c r="O37" s="24">
        <v>0.77172111385998921</v>
      </c>
      <c r="P37" s="24"/>
      <c r="Q37" s="24">
        <v>9.1978684210526307</v>
      </c>
      <c r="R37" s="24">
        <v>0.45875256701163297</v>
      </c>
      <c r="S37" s="24"/>
      <c r="T37" s="113">
        <v>38</v>
      </c>
      <c r="U37" s="60"/>
      <c r="V37" s="48">
        <v>0.10095749615384617</v>
      </c>
      <c r="W37" s="24">
        <v>4.1648856411362761E-3</v>
      </c>
      <c r="X37" s="24"/>
      <c r="Y37" s="113">
        <v>39</v>
      </c>
    </row>
    <row r="38" spans="1:25" s="1" customFormat="1" x14ac:dyDescent="0.2">
      <c r="A38" s="87">
        <v>228</v>
      </c>
      <c r="B38" s="2" t="s">
        <v>46</v>
      </c>
      <c r="C38" s="2" t="s">
        <v>55</v>
      </c>
      <c r="D38" s="54" t="s">
        <v>61</v>
      </c>
      <c r="E38" s="26" t="s">
        <v>58</v>
      </c>
      <c r="F38" s="50" t="s">
        <v>133</v>
      </c>
      <c r="G38" s="3"/>
      <c r="H38" s="4"/>
      <c r="I38" s="24">
        <v>60.924958397273826</v>
      </c>
      <c r="J38" s="24">
        <v>8.3421042569141974</v>
      </c>
      <c r="K38" s="24"/>
      <c r="L38" s="117">
        <v>74</v>
      </c>
      <c r="M38" s="60"/>
      <c r="N38" s="48">
        <v>-14.720189655172417</v>
      </c>
      <c r="O38" s="24">
        <v>0.68676554277440383</v>
      </c>
      <c r="P38" s="24"/>
      <c r="Q38" s="24">
        <v>7.528603448275863</v>
      </c>
      <c r="R38" s="24">
        <v>0.34468098820439058</v>
      </c>
      <c r="S38" s="24"/>
      <c r="T38" s="113">
        <v>58</v>
      </c>
      <c r="U38" s="60"/>
      <c r="V38" s="48">
        <v>0.11052230500000002</v>
      </c>
      <c r="W38" s="24">
        <v>3.5509575937118514E-3</v>
      </c>
      <c r="X38" s="24"/>
      <c r="Y38" s="113">
        <v>62</v>
      </c>
    </row>
    <row r="39" spans="1:25" s="1" customFormat="1" x14ac:dyDescent="0.2">
      <c r="A39" s="87">
        <v>238</v>
      </c>
      <c r="B39" s="2" t="s">
        <v>27</v>
      </c>
      <c r="C39" s="2" t="s">
        <v>16</v>
      </c>
      <c r="D39" s="54" t="s">
        <v>63</v>
      </c>
      <c r="E39" s="26" t="s">
        <v>62</v>
      </c>
      <c r="F39" s="50" t="s">
        <v>1</v>
      </c>
      <c r="G39" s="3"/>
      <c r="H39" s="4"/>
      <c r="I39" s="24">
        <v>76.648615473671654</v>
      </c>
      <c r="J39" s="24">
        <v>11.61993361138404</v>
      </c>
      <c r="K39" s="24"/>
      <c r="L39" s="117">
        <v>49</v>
      </c>
      <c r="M39" s="60"/>
      <c r="N39" s="48">
        <v>-14.491181818181801</v>
      </c>
      <c r="O39" s="24">
        <v>0.6153119623983716</v>
      </c>
      <c r="P39" s="24"/>
      <c r="Q39" s="24">
        <v>8.7351590909090913</v>
      </c>
      <c r="R39" s="24">
        <v>0.30753965856290255</v>
      </c>
      <c r="S39" s="24"/>
      <c r="T39" s="113">
        <v>44</v>
      </c>
      <c r="U39" s="60"/>
      <c r="V39" s="48">
        <v>0.10602071666666664</v>
      </c>
      <c r="W39" s="24">
        <v>3.9380187424266095E-3</v>
      </c>
      <c r="X39" s="24"/>
      <c r="Y39" s="113">
        <v>39</v>
      </c>
    </row>
    <row r="40" spans="1:25" s="1" customFormat="1" x14ac:dyDescent="0.2">
      <c r="A40" s="87">
        <v>243</v>
      </c>
      <c r="B40" s="2" t="s">
        <v>17</v>
      </c>
      <c r="C40" s="2" t="s">
        <v>22</v>
      </c>
      <c r="D40" s="54" t="s">
        <v>64</v>
      </c>
      <c r="E40" s="26" t="s">
        <v>62</v>
      </c>
      <c r="F40" s="50" t="s">
        <v>3</v>
      </c>
      <c r="G40" s="92" t="s">
        <v>122</v>
      </c>
      <c r="H40" s="4"/>
      <c r="I40" s="24">
        <v>77.785461812766769</v>
      </c>
      <c r="J40" s="24">
        <v>10.409545151560783</v>
      </c>
      <c r="K40" s="24"/>
      <c r="L40" s="117">
        <v>79</v>
      </c>
      <c r="M40" s="60"/>
      <c r="N40" s="48">
        <v>-25.137619047619044</v>
      </c>
      <c r="O40" s="24">
        <v>0.98954280728493305</v>
      </c>
      <c r="P40" s="24"/>
      <c r="Q40" s="24">
        <v>7.9975555555555546</v>
      </c>
      <c r="R40" s="24">
        <v>0.33179555715062559</v>
      </c>
      <c r="S40" s="24"/>
      <c r="T40" s="113">
        <v>63</v>
      </c>
      <c r="U40" s="60"/>
      <c r="V40" s="48">
        <v>0.12455734542372882</v>
      </c>
      <c r="W40" s="24">
        <v>6.0074674494273424E-3</v>
      </c>
      <c r="X40" s="24"/>
      <c r="Y40" s="113">
        <v>59</v>
      </c>
    </row>
    <row r="41" spans="1:25" s="1" customFormat="1" x14ac:dyDescent="0.2">
      <c r="A41" s="87">
        <v>274</v>
      </c>
      <c r="B41" s="2" t="s">
        <v>66</v>
      </c>
      <c r="C41" s="2" t="s">
        <v>67</v>
      </c>
      <c r="D41" s="54" t="s">
        <v>68</v>
      </c>
      <c r="E41" s="26" t="s">
        <v>65</v>
      </c>
      <c r="F41" s="50" t="s">
        <v>133</v>
      </c>
      <c r="G41" s="92" t="s">
        <v>122</v>
      </c>
      <c r="H41" s="4"/>
      <c r="I41" s="24">
        <v>42.092149296929193</v>
      </c>
      <c r="J41" s="24">
        <v>2.2010594519501692</v>
      </c>
      <c r="K41" s="24"/>
      <c r="L41" s="117">
        <v>515</v>
      </c>
      <c r="M41" s="60"/>
      <c r="N41" s="48">
        <v>-15.61396371428572</v>
      </c>
      <c r="O41" s="24">
        <v>0.36964411469017644</v>
      </c>
      <c r="P41" s="24"/>
      <c r="Q41" s="24">
        <v>7.2933428571428589</v>
      </c>
      <c r="R41" s="24">
        <v>0.1149427768737169</v>
      </c>
      <c r="S41" s="24"/>
      <c r="T41" s="113">
        <v>350</v>
      </c>
      <c r="U41" s="60"/>
      <c r="V41" s="48">
        <v>0.12373254229219154</v>
      </c>
      <c r="W41" s="24">
        <v>2.3406533001706174E-3</v>
      </c>
      <c r="X41" s="24"/>
      <c r="Y41" s="113">
        <v>397</v>
      </c>
    </row>
    <row r="42" spans="1:25" s="1" customFormat="1" x14ac:dyDescent="0.2">
      <c r="A42" s="87">
        <v>276</v>
      </c>
      <c r="B42" s="2" t="s">
        <v>66</v>
      </c>
      <c r="C42" s="2" t="s">
        <v>27</v>
      </c>
      <c r="D42" s="54" t="s">
        <v>69</v>
      </c>
      <c r="E42" s="26" t="s">
        <v>65</v>
      </c>
      <c r="F42" s="50" t="s">
        <v>133</v>
      </c>
      <c r="G42" s="3"/>
      <c r="H42" s="4"/>
      <c r="I42" s="24">
        <v>13.19978523059871</v>
      </c>
      <c r="J42" s="24">
        <v>2.4070599825944794</v>
      </c>
      <c r="K42" s="24"/>
      <c r="L42" s="117">
        <v>35</v>
      </c>
      <c r="M42" s="60"/>
      <c r="N42" s="48">
        <v>-16.2075</v>
      </c>
      <c r="O42" s="24">
        <v>0.94207550122057493</v>
      </c>
      <c r="P42" s="24"/>
      <c r="Q42" s="24">
        <v>6.4817142857142871</v>
      </c>
      <c r="R42" s="24">
        <v>0.34232247229658369</v>
      </c>
      <c r="S42" s="24"/>
      <c r="T42" s="113">
        <v>14</v>
      </c>
      <c r="U42" s="60"/>
      <c r="V42" s="48">
        <v>0.19824017000000002</v>
      </c>
      <c r="W42" s="24">
        <v>1.7225984989793577E-2</v>
      </c>
      <c r="X42" s="24"/>
      <c r="Y42" s="113">
        <v>23</v>
      </c>
    </row>
    <row r="43" spans="1:25" s="1" customFormat="1" x14ac:dyDescent="0.2">
      <c r="A43" s="87">
        <v>276</v>
      </c>
      <c r="B43" s="2" t="s">
        <v>66</v>
      </c>
      <c r="C43" s="2" t="s">
        <v>18</v>
      </c>
      <c r="D43" s="54" t="s">
        <v>70</v>
      </c>
      <c r="E43" s="26" t="s">
        <v>65</v>
      </c>
      <c r="F43" s="50" t="s">
        <v>133</v>
      </c>
      <c r="G43" s="3"/>
      <c r="H43" s="4"/>
      <c r="I43" s="24">
        <v>35.880307904849147</v>
      </c>
      <c r="J43" s="24">
        <v>3.944602620155127</v>
      </c>
      <c r="K43" s="24"/>
      <c r="L43" s="117">
        <v>51</v>
      </c>
      <c r="M43" s="60"/>
      <c r="N43" s="48">
        <v>-21.515282608695653</v>
      </c>
      <c r="O43" s="24">
        <v>1.3720272671840956</v>
      </c>
      <c r="P43" s="24"/>
      <c r="Q43" s="24">
        <v>7.5831521739130405</v>
      </c>
      <c r="R43" s="24">
        <v>0.50722726991964573</v>
      </c>
      <c r="S43" s="24"/>
      <c r="T43" s="113">
        <v>46</v>
      </c>
      <c r="U43" s="60"/>
      <c r="V43" s="48">
        <v>0.11592868044444445</v>
      </c>
      <c r="W43" s="24">
        <v>8.8814098233640643E-3</v>
      </c>
      <c r="X43" s="24"/>
      <c r="Y43" s="113">
        <v>45</v>
      </c>
    </row>
    <row r="44" spans="1:25" s="1" customFormat="1" x14ac:dyDescent="0.2">
      <c r="A44" s="87">
        <v>276</v>
      </c>
      <c r="B44" s="2" t="s">
        <v>66</v>
      </c>
      <c r="C44" s="2" t="s">
        <v>27</v>
      </c>
      <c r="D44" s="54" t="s">
        <v>71</v>
      </c>
      <c r="E44" s="26" t="s">
        <v>65</v>
      </c>
      <c r="F44" s="50" t="s">
        <v>133</v>
      </c>
      <c r="G44" s="3"/>
      <c r="H44" s="4"/>
      <c r="I44" s="24">
        <v>45.22321514716598</v>
      </c>
      <c r="J44" s="24">
        <v>6.3504799688303297</v>
      </c>
      <c r="K44" s="24"/>
      <c r="L44" s="117">
        <v>58</v>
      </c>
      <c r="M44" s="60"/>
      <c r="N44" s="48">
        <v>-22.457377777777772</v>
      </c>
      <c r="O44" s="24">
        <v>1.2120167212604971</v>
      </c>
      <c r="P44" s="24"/>
      <c r="Q44" s="24">
        <v>7.5764222222222228</v>
      </c>
      <c r="R44" s="24">
        <v>0.42109495256970936</v>
      </c>
      <c r="S44" s="24"/>
      <c r="T44" s="113">
        <v>45</v>
      </c>
      <c r="U44" s="60"/>
      <c r="V44" s="48">
        <v>0.10731373250000001</v>
      </c>
      <c r="W44" s="24">
        <v>5.2899591742204865E-3</v>
      </c>
      <c r="X44" s="24"/>
      <c r="Y44" s="113">
        <v>40</v>
      </c>
    </row>
    <row r="45" spans="1:25" s="1" customFormat="1" x14ac:dyDescent="0.2">
      <c r="A45" s="87">
        <v>278</v>
      </c>
      <c r="B45" s="2" t="s">
        <v>27</v>
      </c>
      <c r="C45" s="2" t="s">
        <v>66</v>
      </c>
      <c r="D45" s="54" t="s">
        <v>72</v>
      </c>
      <c r="E45" s="26" t="s">
        <v>65</v>
      </c>
      <c r="F45" s="50" t="s">
        <v>133</v>
      </c>
      <c r="G45" s="3"/>
      <c r="H45" s="4"/>
      <c r="I45" s="24">
        <v>26.859793006755449</v>
      </c>
      <c r="J45" s="24">
        <v>4.2171697021809331</v>
      </c>
      <c r="K45" s="24"/>
      <c r="L45" s="117">
        <v>36</v>
      </c>
      <c r="M45" s="60"/>
      <c r="N45" s="48">
        <v>-27.718571428571419</v>
      </c>
      <c r="O45" s="24">
        <v>0.6425644542404918</v>
      </c>
      <c r="P45" s="24"/>
      <c r="Q45" s="24">
        <v>6.4824285714285708</v>
      </c>
      <c r="R45" s="24">
        <v>0.37433589317903609</v>
      </c>
      <c r="S45" s="24"/>
      <c r="T45" s="113">
        <v>28</v>
      </c>
      <c r="U45" s="60"/>
      <c r="V45" s="48">
        <v>0.11546808958333332</v>
      </c>
      <c r="W45" s="24">
        <v>4.2896053780422817E-3</v>
      </c>
      <c r="X45" s="24"/>
      <c r="Y45" s="113">
        <v>24</v>
      </c>
    </row>
    <row r="46" spans="1:25" s="1" customFormat="1" x14ac:dyDescent="0.2">
      <c r="A46" s="87">
        <v>278</v>
      </c>
      <c r="B46" s="2" t="s">
        <v>27</v>
      </c>
      <c r="C46" s="2" t="s">
        <v>16</v>
      </c>
      <c r="D46" s="54" t="s">
        <v>73</v>
      </c>
      <c r="E46" s="26" t="s">
        <v>65</v>
      </c>
      <c r="F46" s="50" t="s">
        <v>1</v>
      </c>
      <c r="G46" s="3"/>
      <c r="H46" s="4"/>
      <c r="I46" s="24">
        <v>108.66111524277629</v>
      </c>
      <c r="J46" s="24">
        <v>17.499097081534181</v>
      </c>
      <c r="K46" s="24"/>
      <c r="L46" s="117">
        <v>31</v>
      </c>
      <c r="M46" s="60"/>
      <c r="N46" s="48">
        <v>-16.757571428571431</v>
      </c>
      <c r="O46" s="24">
        <v>1.0966569817063656</v>
      </c>
      <c r="P46" s="24"/>
      <c r="Q46" s="24">
        <v>9.1889285714285727</v>
      </c>
      <c r="R46" s="24">
        <v>0.50320948210443972</v>
      </c>
      <c r="S46" s="24"/>
      <c r="T46" s="113">
        <v>28</v>
      </c>
      <c r="U46" s="60"/>
      <c r="V46" s="48">
        <v>0.11539478374999998</v>
      </c>
      <c r="W46" s="24">
        <v>7.0098011883048929E-3</v>
      </c>
      <c r="X46" s="24"/>
      <c r="Y46" s="113">
        <v>32</v>
      </c>
    </row>
    <row r="47" spans="1:25" s="1" customFormat="1" x14ac:dyDescent="0.2">
      <c r="A47" s="87">
        <v>279</v>
      </c>
      <c r="B47" s="2" t="s">
        <v>53</v>
      </c>
      <c r="C47" s="2" t="s">
        <v>44</v>
      </c>
      <c r="D47" s="54" t="s">
        <v>74</v>
      </c>
      <c r="E47" s="26" t="s">
        <v>65</v>
      </c>
      <c r="F47" s="50" t="s">
        <v>133</v>
      </c>
      <c r="G47" s="3"/>
      <c r="H47" s="4"/>
      <c r="I47" s="24">
        <v>43.2697804745792</v>
      </c>
      <c r="J47" s="24">
        <v>4.5096197322874954</v>
      </c>
      <c r="K47" s="24"/>
      <c r="L47" s="117">
        <v>41</v>
      </c>
      <c r="M47" s="60"/>
      <c r="N47" s="48">
        <v>-18.472151515151523</v>
      </c>
      <c r="O47" s="24">
        <v>0.91208506975609638</v>
      </c>
      <c r="P47" s="24"/>
      <c r="Q47" s="24">
        <v>6.8751818181818178</v>
      </c>
      <c r="R47" s="24">
        <v>0.23492044291045661</v>
      </c>
      <c r="S47" s="24"/>
      <c r="T47" s="113">
        <v>33</v>
      </c>
      <c r="U47" s="60"/>
      <c r="V47" s="48">
        <v>0.10935390972972975</v>
      </c>
      <c r="W47" s="24">
        <v>3.2795560435873411E-3</v>
      </c>
      <c r="X47" s="24"/>
      <c r="Y47" s="113">
        <v>37</v>
      </c>
    </row>
    <row r="48" spans="1:25" s="1" customFormat="1" x14ac:dyDescent="0.2">
      <c r="A48" s="87">
        <v>279</v>
      </c>
      <c r="B48" s="2" t="s">
        <v>53</v>
      </c>
      <c r="C48" s="2" t="s">
        <v>25</v>
      </c>
      <c r="D48" s="54" t="s">
        <v>75</v>
      </c>
      <c r="E48" s="26" t="s">
        <v>65</v>
      </c>
      <c r="F48" s="50" t="s">
        <v>133</v>
      </c>
      <c r="G48" s="107" t="s">
        <v>122</v>
      </c>
      <c r="H48" s="4"/>
      <c r="I48" s="24">
        <v>22.908601860381193</v>
      </c>
      <c r="J48" s="24">
        <v>3.1056035455518756</v>
      </c>
      <c r="K48" s="24"/>
      <c r="L48" s="117">
        <v>43</v>
      </c>
      <c r="M48" s="60"/>
      <c r="N48" s="48">
        <v>-23.084814814814809</v>
      </c>
      <c r="O48" s="24">
        <v>1.0944824545922929</v>
      </c>
      <c r="P48" s="24"/>
      <c r="Q48" s="24">
        <v>6.2351111111111104</v>
      </c>
      <c r="R48" s="24">
        <v>0.22368964645178632</v>
      </c>
      <c r="S48" s="24"/>
      <c r="T48" s="113">
        <v>27</v>
      </c>
      <c r="U48" s="60"/>
      <c r="V48" s="48">
        <v>0.14419948724137929</v>
      </c>
      <c r="W48" s="24">
        <v>9.6405266161748143E-3</v>
      </c>
      <c r="X48" s="24"/>
      <c r="Y48" s="113">
        <v>29</v>
      </c>
    </row>
    <row r="49" spans="1:25" s="1" customFormat="1" x14ac:dyDescent="0.2">
      <c r="A49" s="87">
        <v>280</v>
      </c>
      <c r="B49" s="2" t="s">
        <v>55</v>
      </c>
      <c r="C49" s="2" t="s">
        <v>46</v>
      </c>
      <c r="D49" s="54" t="s">
        <v>76</v>
      </c>
      <c r="E49" s="26" t="s">
        <v>65</v>
      </c>
      <c r="F49" s="50" t="s">
        <v>133</v>
      </c>
      <c r="G49" s="3"/>
      <c r="H49" s="4"/>
      <c r="I49" s="24">
        <v>17.161715299242093</v>
      </c>
      <c r="J49" s="24">
        <v>2.1485339877815015</v>
      </c>
      <c r="K49" s="24"/>
      <c r="L49" s="117">
        <v>63</v>
      </c>
      <c r="M49" s="60"/>
      <c r="N49" s="48">
        <v>-20.872114285714286</v>
      </c>
      <c r="O49" s="24">
        <v>1.6034620678323495</v>
      </c>
      <c r="P49" s="24"/>
      <c r="Q49" s="24">
        <v>5.8379142857142874</v>
      </c>
      <c r="R49" s="24">
        <v>0.33200172463718386</v>
      </c>
      <c r="S49" s="24"/>
      <c r="T49" s="113">
        <v>35</v>
      </c>
      <c r="U49" s="60"/>
      <c r="V49" s="48">
        <v>0.11941795743589748</v>
      </c>
      <c r="W49" s="24">
        <v>4.359926100495029E-3</v>
      </c>
      <c r="X49" s="24"/>
      <c r="Y49" s="113">
        <v>39</v>
      </c>
    </row>
    <row r="50" spans="1:25" s="1" customFormat="1" x14ac:dyDescent="0.2">
      <c r="A50" s="87">
        <v>281</v>
      </c>
      <c r="B50" s="2" t="s">
        <v>53</v>
      </c>
      <c r="C50" s="2" t="s">
        <v>33</v>
      </c>
      <c r="D50" s="54" t="s">
        <v>77</v>
      </c>
      <c r="E50" s="26" t="s">
        <v>65</v>
      </c>
      <c r="F50" s="50" t="s">
        <v>133</v>
      </c>
      <c r="G50" s="107" t="s">
        <v>122</v>
      </c>
      <c r="H50" s="4"/>
      <c r="I50" s="24">
        <v>23.498925637670698</v>
      </c>
      <c r="J50" s="24">
        <v>3.3473878977372804</v>
      </c>
      <c r="K50" s="24"/>
      <c r="L50" s="117">
        <v>57</v>
      </c>
      <c r="M50" s="60"/>
      <c r="N50" s="48">
        <v>-13.78811</v>
      </c>
      <c r="O50" s="24">
        <v>1.6510497727390108</v>
      </c>
      <c r="P50" s="24"/>
      <c r="Q50" s="24">
        <v>6.899725000000001</v>
      </c>
      <c r="R50" s="24">
        <v>0.28358734915252942</v>
      </c>
      <c r="S50" s="24"/>
      <c r="T50" s="113">
        <v>40</v>
      </c>
      <c r="U50" s="60"/>
      <c r="V50" s="48">
        <v>0.12803965632653061</v>
      </c>
      <c r="W50" s="24">
        <v>6.0790266930221618E-3</v>
      </c>
      <c r="X50" s="24"/>
      <c r="Y50" s="113">
        <v>49</v>
      </c>
    </row>
    <row r="51" spans="1:25" s="1" customFormat="1" x14ac:dyDescent="0.2">
      <c r="A51" s="87">
        <v>281</v>
      </c>
      <c r="B51" s="2" t="s">
        <v>53</v>
      </c>
      <c r="C51" s="2" t="s">
        <v>36</v>
      </c>
      <c r="D51" s="54" t="s">
        <v>78</v>
      </c>
      <c r="E51" s="26" t="s">
        <v>65</v>
      </c>
      <c r="F51" s="50" t="s">
        <v>133</v>
      </c>
      <c r="G51" s="21"/>
      <c r="H51" s="4"/>
      <c r="I51" s="24">
        <v>49.075647457866708</v>
      </c>
      <c r="J51" s="24">
        <v>6.0936472164028856</v>
      </c>
      <c r="K51" s="24"/>
      <c r="L51" s="117">
        <v>53</v>
      </c>
      <c r="M51" s="60"/>
      <c r="N51" s="48">
        <v>-20.685492500000002</v>
      </c>
      <c r="O51" s="24">
        <v>1.4764643337508363</v>
      </c>
      <c r="P51" s="24"/>
      <c r="Q51" s="59">
        <v>6.9713499999999993</v>
      </c>
      <c r="R51" s="24">
        <v>0.36041368423251036</v>
      </c>
      <c r="S51" s="24"/>
      <c r="T51" s="113">
        <v>40</v>
      </c>
      <c r="U51" s="60"/>
      <c r="V51" s="48">
        <v>0.1152674314285714</v>
      </c>
      <c r="W51" s="24">
        <v>3.8986314668395042E-3</v>
      </c>
      <c r="X51" s="24"/>
      <c r="Y51" s="113">
        <v>42</v>
      </c>
    </row>
    <row r="52" spans="1:25" s="1" customFormat="1" x14ac:dyDescent="0.2">
      <c r="A52" s="87">
        <v>282</v>
      </c>
      <c r="B52" s="2" t="s">
        <v>39</v>
      </c>
      <c r="C52" s="2" t="s">
        <v>29</v>
      </c>
      <c r="D52" s="54" t="s">
        <v>79</v>
      </c>
      <c r="E52" s="26" t="s">
        <v>65</v>
      </c>
      <c r="F52" s="50" t="s">
        <v>133</v>
      </c>
      <c r="G52" s="3"/>
      <c r="H52" s="3"/>
      <c r="I52" s="24">
        <v>31.498749028877487</v>
      </c>
      <c r="J52" s="24">
        <v>3.8193421863918253</v>
      </c>
      <c r="K52" s="24"/>
      <c r="L52" s="117">
        <v>61</v>
      </c>
      <c r="M52" s="12"/>
      <c r="N52" s="48">
        <v>-19.88340909090909</v>
      </c>
      <c r="O52" s="24">
        <v>0.56445776925739288</v>
      </c>
      <c r="P52" s="24"/>
      <c r="Q52" s="24">
        <v>6.7601363636363656</v>
      </c>
      <c r="R52" s="24">
        <v>0.25091401960336684</v>
      </c>
      <c r="S52" s="24"/>
      <c r="T52" s="113">
        <v>44</v>
      </c>
      <c r="U52" s="12"/>
      <c r="V52" s="48">
        <v>0.15816637055555557</v>
      </c>
      <c r="W52" s="24">
        <v>8.1273195314168368E-3</v>
      </c>
      <c r="X52" s="24"/>
      <c r="Y52" s="113">
        <v>54</v>
      </c>
    </row>
    <row r="53" spans="1:25" s="1" customFormat="1" x14ac:dyDescent="0.2">
      <c r="A53" s="87">
        <v>282</v>
      </c>
      <c r="B53" s="2" t="s">
        <v>39</v>
      </c>
      <c r="C53" s="2" t="s">
        <v>46</v>
      </c>
      <c r="D53" s="54" t="s">
        <v>80</v>
      </c>
      <c r="E53" s="26" t="s">
        <v>65</v>
      </c>
      <c r="F53" s="50" t="s">
        <v>133</v>
      </c>
      <c r="G53" s="3"/>
      <c r="H53" s="3"/>
      <c r="I53" s="24">
        <v>26.856178202323306</v>
      </c>
      <c r="J53" s="24">
        <v>4.1453699455293114</v>
      </c>
      <c r="K53" s="24"/>
      <c r="L53" s="117">
        <v>39</v>
      </c>
      <c r="M53" s="60"/>
      <c r="N53" s="48">
        <v>-13.394296000000002</v>
      </c>
      <c r="O53" s="24">
        <v>1.2200445320899829</v>
      </c>
      <c r="P53" s="24"/>
      <c r="Q53" s="24">
        <v>6.2098399999999989</v>
      </c>
      <c r="R53" s="24">
        <v>0.3706610926439412</v>
      </c>
      <c r="S53" s="24"/>
      <c r="T53" s="113">
        <v>25</v>
      </c>
      <c r="U53" s="60"/>
      <c r="V53" s="48">
        <v>0.13484515218750001</v>
      </c>
      <c r="W53" s="24">
        <v>7.8708090352591562E-3</v>
      </c>
      <c r="X53" s="24"/>
      <c r="Y53" s="113">
        <v>32</v>
      </c>
    </row>
    <row r="54" spans="1:25" s="1" customFormat="1" x14ac:dyDescent="0.2">
      <c r="A54" s="87">
        <v>284</v>
      </c>
      <c r="B54" s="2" t="s">
        <v>55</v>
      </c>
      <c r="C54" s="2" t="s">
        <v>44</v>
      </c>
      <c r="D54" s="54" t="s">
        <v>81</v>
      </c>
      <c r="E54" s="26" t="s">
        <v>65</v>
      </c>
      <c r="F54" s="50" t="s">
        <v>3</v>
      </c>
      <c r="G54" s="107" t="s">
        <v>122</v>
      </c>
      <c r="H54" s="3"/>
      <c r="I54" s="24">
        <v>106.75137208620964</v>
      </c>
      <c r="J54" s="24">
        <v>13.870742209328879</v>
      </c>
      <c r="K54" s="24"/>
      <c r="L54" s="117">
        <v>42</v>
      </c>
      <c r="M54" s="60"/>
      <c r="N54" s="48">
        <v>-28.358709677419348</v>
      </c>
      <c r="O54" s="24">
        <v>0.73716278850762784</v>
      </c>
      <c r="P54" s="24"/>
      <c r="Q54" s="24">
        <v>7.3875483870967749</v>
      </c>
      <c r="R54" s="24">
        <v>0.35468390543048051</v>
      </c>
      <c r="S54" s="24"/>
      <c r="T54" s="113">
        <v>31</v>
      </c>
      <c r="U54" s="60"/>
      <c r="V54" s="48">
        <v>0.10707891764705882</v>
      </c>
      <c r="W54" s="24">
        <v>5.4272238323252661E-3</v>
      </c>
      <c r="X54" s="24"/>
      <c r="Y54" s="113">
        <v>34</v>
      </c>
    </row>
    <row r="55" spans="1:25" s="1" customFormat="1" x14ac:dyDescent="0.2">
      <c r="A55" s="87">
        <v>284</v>
      </c>
      <c r="B55" s="2" t="s">
        <v>55</v>
      </c>
      <c r="C55" s="2" t="s">
        <v>39</v>
      </c>
      <c r="D55" s="54" t="s">
        <v>82</v>
      </c>
      <c r="E55" s="26" t="s">
        <v>65</v>
      </c>
      <c r="F55" s="50" t="s">
        <v>133</v>
      </c>
      <c r="G55" s="3"/>
      <c r="H55" s="3"/>
      <c r="I55" s="24">
        <v>32.147951524668962</v>
      </c>
      <c r="J55" s="24">
        <v>4.4500814981795802</v>
      </c>
      <c r="K55" s="24"/>
      <c r="L55" s="117">
        <v>60</v>
      </c>
      <c r="M55" s="60"/>
      <c r="N55" s="48">
        <v>-21.252240384615391</v>
      </c>
      <c r="O55" s="24">
        <v>1.2844218756966757</v>
      </c>
      <c r="P55" s="24"/>
      <c r="Q55" s="24">
        <v>7.1440192307692314</v>
      </c>
      <c r="R55" s="24">
        <v>0.44261893484798021</v>
      </c>
      <c r="S55" s="24"/>
      <c r="T55" s="113">
        <v>52</v>
      </c>
      <c r="U55" s="60"/>
      <c r="V55" s="48">
        <v>0.10081935181818182</v>
      </c>
      <c r="W55" s="24">
        <v>3.8378609004381206E-3</v>
      </c>
      <c r="X55" s="24"/>
      <c r="Y55" s="113">
        <v>44</v>
      </c>
    </row>
    <row r="56" spans="1:25" s="1" customFormat="1" x14ac:dyDescent="0.2">
      <c r="A56" s="87">
        <v>284</v>
      </c>
      <c r="B56" s="2" t="s">
        <v>55</v>
      </c>
      <c r="C56" s="2" t="s">
        <v>46</v>
      </c>
      <c r="D56" s="54" t="s">
        <v>83</v>
      </c>
      <c r="E56" s="26" t="s">
        <v>65</v>
      </c>
      <c r="F56" s="50" t="s">
        <v>133</v>
      </c>
      <c r="G56" s="3"/>
      <c r="H56" s="3"/>
      <c r="I56" s="24">
        <v>40.068217408304257</v>
      </c>
      <c r="J56" s="24">
        <v>5.4813022980707151</v>
      </c>
      <c r="K56" s="24"/>
      <c r="L56" s="117">
        <v>70</v>
      </c>
      <c r="M56" s="60"/>
      <c r="N56" s="48">
        <v>-21.087058823529414</v>
      </c>
      <c r="O56" s="24">
        <v>0.67217850652685951</v>
      </c>
      <c r="P56" s="24"/>
      <c r="Q56" s="24">
        <v>6.8186470588235277</v>
      </c>
      <c r="R56" s="24">
        <v>0.20175762749831569</v>
      </c>
      <c r="S56" s="24"/>
      <c r="T56" s="113">
        <v>51</v>
      </c>
      <c r="U56" s="60"/>
      <c r="V56" s="48">
        <v>0.14313283762711859</v>
      </c>
      <c r="W56" s="24">
        <v>7.6787508553646444E-3</v>
      </c>
      <c r="X56" s="24"/>
      <c r="Y56" s="113">
        <v>59</v>
      </c>
    </row>
    <row r="57" spans="1:25" s="1" customFormat="1" x14ac:dyDescent="0.2">
      <c r="A57" s="87">
        <v>284</v>
      </c>
      <c r="B57" s="2" t="s">
        <v>55</v>
      </c>
      <c r="C57" s="2" t="s">
        <v>84</v>
      </c>
      <c r="D57" s="54" t="s">
        <v>85</v>
      </c>
      <c r="E57" s="26" t="s">
        <v>65</v>
      </c>
      <c r="F57" s="50" t="s">
        <v>133</v>
      </c>
      <c r="G57" s="3"/>
      <c r="H57" s="3"/>
      <c r="I57" s="24">
        <v>56.446946756491151</v>
      </c>
      <c r="J57" s="24">
        <v>7.9305525676158712</v>
      </c>
      <c r="K57" s="24"/>
      <c r="L57" s="117">
        <v>64</v>
      </c>
      <c r="M57" s="60"/>
      <c r="N57" s="48">
        <v>-21.407960784313723</v>
      </c>
      <c r="O57" s="24">
        <v>1.1157704785275331</v>
      </c>
      <c r="P57" s="24"/>
      <c r="Q57" s="24">
        <v>7.4893137254901969</v>
      </c>
      <c r="R57" s="24">
        <v>0.34919576675802072</v>
      </c>
      <c r="S57" s="24"/>
      <c r="T57" s="113">
        <v>50</v>
      </c>
      <c r="U57" s="60"/>
      <c r="V57" s="48">
        <v>0.11274643217391302</v>
      </c>
      <c r="W57" s="24">
        <v>4.475842005768566E-3</v>
      </c>
      <c r="X57" s="24"/>
      <c r="Y57" s="113">
        <v>45</v>
      </c>
    </row>
    <row r="58" spans="1:25" s="1" customFormat="1" x14ac:dyDescent="0.2">
      <c r="A58" s="87">
        <v>291</v>
      </c>
      <c r="B58" s="2" t="s">
        <v>33</v>
      </c>
      <c r="C58" s="2" t="s">
        <v>53</v>
      </c>
      <c r="D58" s="54" t="s">
        <v>86</v>
      </c>
      <c r="E58" s="26" t="s">
        <v>65</v>
      </c>
      <c r="F58" s="50" t="s">
        <v>133</v>
      </c>
      <c r="G58" s="3"/>
      <c r="H58" s="3"/>
      <c r="I58" s="24">
        <v>35.167019925494415</v>
      </c>
      <c r="J58" s="24">
        <v>5.3280994155162764</v>
      </c>
      <c r="K58" s="24"/>
      <c r="L58" s="117">
        <v>42</v>
      </c>
      <c r="M58" s="60"/>
      <c r="N58" s="48">
        <v>-16.240205882352939</v>
      </c>
      <c r="O58" s="24">
        <v>1.5159041434588856</v>
      </c>
      <c r="P58" s="24"/>
      <c r="Q58" s="24">
        <v>7.0659117647058807</v>
      </c>
      <c r="R58" s="24">
        <v>0.35486055951334372</v>
      </c>
      <c r="S58" s="24"/>
      <c r="T58" s="113">
        <v>34</v>
      </c>
      <c r="U58" s="60"/>
      <c r="V58" s="48">
        <v>0.110112681</v>
      </c>
      <c r="W58" s="24">
        <v>4.0838653061371476E-3</v>
      </c>
      <c r="X58" s="24"/>
      <c r="Y58" s="113">
        <v>40</v>
      </c>
    </row>
    <row r="59" spans="1:25" s="1" customFormat="1" x14ac:dyDescent="0.2">
      <c r="A59" s="87">
        <v>292.5</v>
      </c>
      <c r="B59" s="2" t="s">
        <v>88</v>
      </c>
      <c r="C59" s="2" t="s">
        <v>89</v>
      </c>
      <c r="D59" s="54" t="s">
        <v>90</v>
      </c>
      <c r="E59" s="26" t="s">
        <v>87</v>
      </c>
      <c r="F59" s="50" t="s">
        <v>133</v>
      </c>
      <c r="G59" s="3"/>
      <c r="H59" s="3"/>
      <c r="I59" s="24">
        <v>30.942827422631574</v>
      </c>
      <c r="J59" s="24">
        <v>4.1835356612904819</v>
      </c>
      <c r="K59" s="24"/>
      <c r="L59" s="117">
        <v>55</v>
      </c>
      <c r="M59" s="60"/>
      <c r="N59" s="48">
        <v>-11.890817647058824</v>
      </c>
      <c r="O59" s="24">
        <v>1.6624984801808853</v>
      </c>
      <c r="P59" s="24"/>
      <c r="Q59" s="24">
        <v>7.2330294117647105</v>
      </c>
      <c r="R59" s="24">
        <v>0.33375299737027342</v>
      </c>
      <c r="S59" s="24"/>
      <c r="T59" s="113">
        <v>34</v>
      </c>
      <c r="U59" s="60"/>
      <c r="V59" s="48">
        <v>0.1125903525</v>
      </c>
      <c r="W59" s="24">
        <v>5.5670537758362726E-3</v>
      </c>
      <c r="X59" s="24"/>
      <c r="Y59" s="113">
        <v>40</v>
      </c>
    </row>
    <row r="60" spans="1:25" s="1" customFormat="1" x14ac:dyDescent="0.2">
      <c r="A60" s="87">
        <v>294</v>
      </c>
      <c r="B60" s="2" t="s">
        <v>15</v>
      </c>
      <c r="C60" s="2" t="s">
        <v>53</v>
      </c>
      <c r="D60" s="54" t="s">
        <v>91</v>
      </c>
      <c r="E60" s="26" t="s">
        <v>87</v>
      </c>
      <c r="F60" s="50" t="s">
        <v>3</v>
      </c>
      <c r="G60" s="92" t="s">
        <v>122</v>
      </c>
      <c r="H60" s="3"/>
      <c r="I60" s="24">
        <v>49.076843275235483</v>
      </c>
      <c r="J60" s="24">
        <v>9.1326826968581649</v>
      </c>
      <c r="K60" s="24"/>
      <c r="L60" s="117">
        <v>32</v>
      </c>
      <c r="M60" s="60"/>
      <c r="N60" s="48">
        <v>-17.757695652173908</v>
      </c>
      <c r="O60" s="24">
        <v>0.9067213957250323</v>
      </c>
      <c r="P60" s="24"/>
      <c r="Q60" s="24">
        <v>7.3750434782608698</v>
      </c>
      <c r="R60" s="24">
        <v>0.29730612959823594</v>
      </c>
      <c r="S60" s="24"/>
      <c r="T60" s="113">
        <v>23</v>
      </c>
      <c r="U60" s="60"/>
      <c r="V60" s="48">
        <v>0.12512117461538463</v>
      </c>
      <c r="W60" s="24">
        <v>5.1065263611649123E-3</v>
      </c>
      <c r="X60" s="24"/>
      <c r="Y60" s="113">
        <v>26</v>
      </c>
    </row>
    <row r="61" spans="1:25" s="1" customFormat="1" x14ac:dyDescent="0.2">
      <c r="A61" s="87">
        <v>294</v>
      </c>
      <c r="B61" s="2" t="s">
        <v>15</v>
      </c>
      <c r="C61" s="2" t="s">
        <v>16</v>
      </c>
      <c r="D61" s="54" t="s">
        <v>92</v>
      </c>
      <c r="E61" s="26" t="s">
        <v>87</v>
      </c>
      <c r="F61" s="50" t="s">
        <v>133</v>
      </c>
      <c r="G61" s="92" t="s">
        <v>122</v>
      </c>
      <c r="H61" s="3"/>
      <c r="I61" s="24">
        <v>40.381565288520882</v>
      </c>
      <c r="J61" s="24">
        <v>2.3386362905969</v>
      </c>
      <c r="K61" s="24"/>
      <c r="L61" s="117">
        <v>297</v>
      </c>
      <c r="M61" s="60"/>
      <c r="N61" s="48">
        <v>-16.389750454545457</v>
      </c>
      <c r="O61" s="24">
        <v>0.58393672149866649</v>
      </c>
      <c r="P61" s="24"/>
      <c r="Q61" s="24">
        <v>7.2739409090909017</v>
      </c>
      <c r="R61" s="24">
        <v>0.12927266823594355</v>
      </c>
      <c r="S61" s="24"/>
      <c r="T61" s="113">
        <v>220</v>
      </c>
      <c r="U61" s="60"/>
      <c r="V61" s="48">
        <v>0.11071116348936169</v>
      </c>
      <c r="W61" s="24">
        <v>1.8668433349487749E-3</v>
      </c>
      <c r="X61" s="24"/>
      <c r="Y61" s="113">
        <v>235</v>
      </c>
    </row>
    <row r="62" spans="1:25" s="1" customFormat="1" ht="13.5" customHeight="1" x14ac:dyDescent="0.2">
      <c r="A62" s="87">
        <v>305</v>
      </c>
      <c r="B62" s="2" t="s">
        <v>22</v>
      </c>
      <c r="C62" s="2" t="s">
        <v>93</v>
      </c>
      <c r="D62" s="54" t="s">
        <v>94</v>
      </c>
      <c r="E62" s="26" t="s">
        <v>87</v>
      </c>
      <c r="F62" s="50" t="s">
        <v>133</v>
      </c>
      <c r="G62" s="3"/>
      <c r="H62" s="3"/>
      <c r="I62" s="24">
        <v>32.375615574935054</v>
      </c>
      <c r="J62" s="24">
        <v>3.7367148725718868</v>
      </c>
      <c r="K62" s="24"/>
      <c r="L62" s="117">
        <v>78</v>
      </c>
      <c r="M62" s="60"/>
      <c r="N62" s="48">
        <v>-15.200207346938774</v>
      </c>
      <c r="O62" s="24">
        <v>1.662310402949148</v>
      </c>
      <c r="P62" s="24"/>
      <c r="Q62" s="24">
        <v>6.9003469387755096</v>
      </c>
      <c r="R62" s="24">
        <v>0.27166737544931846</v>
      </c>
      <c r="S62" s="24"/>
      <c r="T62" s="113">
        <v>49</v>
      </c>
      <c r="U62" s="60"/>
      <c r="V62" s="48">
        <v>0.12095946786885244</v>
      </c>
      <c r="W62" s="24">
        <v>3.9968816500745488E-3</v>
      </c>
      <c r="X62" s="24"/>
      <c r="Y62" s="113">
        <v>61</v>
      </c>
    </row>
    <row r="63" spans="1:25" s="1" customFormat="1" x14ac:dyDescent="0.2">
      <c r="A63" s="87">
        <v>306</v>
      </c>
      <c r="B63" s="2" t="s">
        <v>15</v>
      </c>
      <c r="C63" s="2" t="s">
        <v>18</v>
      </c>
      <c r="D63" s="54" t="s">
        <v>95</v>
      </c>
      <c r="E63" s="26" t="s">
        <v>87</v>
      </c>
      <c r="F63" s="50" t="s">
        <v>133</v>
      </c>
      <c r="G63" s="3"/>
      <c r="H63" s="3"/>
      <c r="I63" s="24">
        <v>21.516305254265617</v>
      </c>
      <c r="J63" s="24">
        <v>4.5569760495933744</v>
      </c>
      <c r="K63" s="24"/>
      <c r="L63" s="117">
        <v>46</v>
      </c>
      <c r="M63" s="60"/>
      <c r="N63" s="48">
        <v>-21.821500000000004</v>
      </c>
      <c r="O63" s="24">
        <v>1.5561383646026954</v>
      </c>
      <c r="P63" s="24"/>
      <c r="Q63" s="24">
        <v>6.5619285714285711</v>
      </c>
      <c r="R63" s="24">
        <v>0.40738595290688445</v>
      </c>
      <c r="S63" s="24"/>
      <c r="T63" s="113">
        <v>28</v>
      </c>
      <c r="U63" s="60"/>
      <c r="V63" s="48">
        <v>0.11687099913043476</v>
      </c>
      <c r="W63" s="24">
        <v>7.3660347020082515E-3</v>
      </c>
      <c r="X63" s="24"/>
      <c r="Y63" s="113">
        <v>23</v>
      </c>
    </row>
    <row r="64" spans="1:25" s="1" customFormat="1" x14ac:dyDescent="0.2">
      <c r="A64" s="87">
        <v>306</v>
      </c>
      <c r="B64" s="2" t="s">
        <v>15</v>
      </c>
      <c r="C64" s="2" t="s">
        <v>66</v>
      </c>
      <c r="D64" s="54" t="s">
        <v>96</v>
      </c>
      <c r="E64" s="26" t="s">
        <v>87</v>
      </c>
      <c r="F64" s="50" t="s">
        <v>3</v>
      </c>
      <c r="G64" s="92" t="s">
        <v>122</v>
      </c>
      <c r="H64" s="3"/>
      <c r="I64" s="24">
        <v>80.507313887102171</v>
      </c>
      <c r="J64" s="24">
        <v>14.245016287070959</v>
      </c>
      <c r="K64" s="24"/>
      <c r="L64" s="117">
        <v>37</v>
      </c>
      <c r="M64" s="60"/>
      <c r="N64" s="48">
        <v>-22.808387096774201</v>
      </c>
      <c r="O64" s="24">
        <v>0.86871628153321201</v>
      </c>
      <c r="P64" s="12"/>
      <c r="Q64" s="24">
        <v>7.6979677419354857</v>
      </c>
      <c r="R64" s="24">
        <v>0.41865388348713756</v>
      </c>
      <c r="S64" s="24"/>
      <c r="T64" s="113">
        <v>31</v>
      </c>
      <c r="U64" s="60"/>
      <c r="V64" s="48">
        <v>0.1071759038235294</v>
      </c>
      <c r="W64" s="24">
        <v>7.7344962932268E-3</v>
      </c>
      <c r="X64" s="24"/>
      <c r="Y64" s="113">
        <v>34</v>
      </c>
    </row>
    <row r="65" spans="1:25" s="1" customFormat="1" x14ac:dyDescent="0.2">
      <c r="A65" s="87">
        <v>306</v>
      </c>
      <c r="B65" s="2" t="s">
        <v>15</v>
      </c>
      <c r="C65" s="2" t="s">
        <v>16</v>
      </c>
      <c r="D65" s="54" t="s">
        <v>97</v>
      </c>
      <c r="E65" s="26" t="s">
        <v>87</v>
      </c>
      <c r="F65" s="50" t="s">
        <v>133</v>
      </c>
      <c r="G65" s="3"/>
      <c r="H65" s="3"/>
      <c r="I65" s="24">
        <v>56.464978914851415</v>
      </c>
      <c r="J65" s="24">
        <v>6.4198120654004036</v>
      </c>
      <c r="K65" s="24"/>
      <c r="L65" s="117">
        <v>72</v>
      </c>
      <c r="M65" s="60"/>
      <c r="N65" s="48">
        <v>-21.28668965517242</v>
      </c>
      <c r="O65" s="24">
        <v>0.85692800884634579</v>
      </c>
      <c r="P65" s="24"/>
      <c r="Q65" s="24">
        <v>7.9856034482758655</v>
      </c>
      <c r="R65" s="24">
        <v>0.27158665674734911</v>
      </c>
      <c r="S65" s="24"/>
      <c r="T65" s="113">
        <v>58</v>
      </c>
      <c r="U65" s="60"/>
      <c r="V65" s="48">
        <v>0.11191999193548385</v>
      </c>
      <c r="W65" s="24">
        <v>3.5824905714576657E-3</v>
      </c>
      <c r="X65" s="24"/>
      <c r="Y65" s="113">
        <v>62</v>
      </c>
    </row>
    <row r="66" spans="1:25" s="1" customFormat="1" x14ac:dyDescent="0.2">
      <c r="A66" s="87">
        <v>333</v>
      </c>
      <c r="B66" s="2" t="s">
        <v>33</v>
      </c>
      <c r="C66" s="2" t="s">
        <v>34</v>
      </c>
      <c r="D66" s="54" t="s">
        <v>99</v>
      </c>
      <c r="E66" s="26" t="s">
        <v>98</v>
      </c>
      <c r="F66" s="50" t="s">
        <v>3</v>
      </c>
      <c r="G66" s="92" t="s">
        <v>122</v>
      </c>
      <c r="H66" s="3"/>
      <c r="I66" s="24">
        <v>72.871640318685195</v>
      </c>
      <c r="J66" s="24">
        <v>7.8921554277786852</v>
      </c>
      <c r="K66" s="24"/>
      <c r="L66" s="117">
        <v>41</v>
      </c>
      <c r="M66" s="60"/>
      <c r="N66" s="48">
        <v>-18.645512820512817</v>
      </c>
      <c r="O66" s="24">
        <v>0.69902184392801925</v>
      </c>
      <c r="P66" s="24"/>
      <c r="Q66" s="24">
        <v>7.894564102564102</v>
      </c>
      <c r="R66" s="24">
        <v>0.35625891431396856</v>
      </c>
      <c r="S66" s="24"/>
      <c r="T66" s="113">
        <v>39</v>
      </c>
      <c r="U66" s="60"/>
      <c r="V66" s="48">
        <v>9.6457824358974362E-2</v>
      </c>
      <c r="W66" s="24">
        <v>3.2703982416862993E-3</v>
      </c>
      <c r="X66" s="24"/>
      <c r="Y66" s="113">
        <v>39</v>
      </c>
    </row>
    <row r="67" spans="1:25" s="1" customFormat="1" x14ac:dyDescent="0.2">
      <c r="A67" s="87">
        <v>333</v>
      </c>
      <c r="B67" s="2" t="s">
        <v>33</v>
      </c>
      <c r="C67" s="2" t="s">
        <v>36</v>
      </c>
      <c r="D67" s="54" t="s">
        <v>100</v>
      </c>
      <c r="E67" s="26" t="s">
        <v>98</v>
      </c>
      <c r="F67" s="50" t="s">
        <v>133</v>
      </c>
      <c r="G67" s="3"/>
      <c r="H67" s="3"/>
      <c r="I67" s="24">
        <v>60.300763978552332</v>
      </c>
      <c r="J67" s="24">
        <v>7.3561342422129989</v>
      </c>
      <c r="K67" s="24"/>
      <c r="L67" s="117">
        <v>74</v>
      </c>
      <c r="M67" s="12"/>
      <c r="N67" s="48">
        <v>-18.877771929824565</v>
      </c>
      <c r="O67" s="24">
        <v>0.67838036560402881</v>
      </c>
      <c r="P67" s="24"/>
      <c r="Q67" s="24">
        <v>7.6232456140350866</v>
      </c>
      <c r="R67" s="24">
        <v>0.26412480351154882</v>
      </c>
      <c r="S67" s="24"/>
      <c r="T67" s="113">
        <v>57</v>
      </c>
      <c r="U67" s="12"/>
      <c r="V67" s="48">
        <v>0.12199812919354838</v>
      </c>
      <c r="W67" s="24">
        <v>4.3647937938609306E-3</v>
      </c>
      <c r="X67" s="24"/>
      <c r="Y67" s="113">
        <v>62</v>
      </c>
    </row>
    <row r="68" spans="1:25" s="1" customFormat="1" x14ac:dyDescent="0.2">
      <c r="A68" s="87">
        <v>335</v>
      </c>
      <c r="B68" s="2" t="s">
        <v>18</v>
      </c>
      <c r="C68" s="2" t="s">
        <v>17</v>
      </c>
      <c r="D68" s="54" t="s">
        <v>101</v>
      </c>
      <c r="E68" s="26" t="s">
        <v>98</v>
      </c>
      <c r="F68" s="50" t="s">
        <v>133</v>
      </c>
      <c r="G68" s="3"/>
      <c r="H68" s="3"/>
      <c r="I68" s="24">
        <v>94.173725256126133</v>
      </c>
      <c r="J68" s="24">
        <v>25.7966173282848</v>
      </c>
      <c r="K68" s="24"/>
      <c r="L68" s="117">
        <v>19</v>
      </c>
      <c r="M68" s="12"/>
      <c r="N68" s="48">
        <v>-34.807500000000005</v>
      </c>
      <c r="O68" s="24">
        <v>0.7260575619972105</v>
      </c>
      <c r="P68" s="24"/>
      <c r="Q68" s="24">
        <v>8.6263125000000009</v>
      </c>
      <c r="R68" s="24">
        <v>0.4524230019088869</v>
      </c>
      <c r="S68" s="24"/>
      <c r="T68" s="113">
        <v>16</v>
      </c>
      <c r="U68" s="12"/>
      <c r="V68" s="48">
        <v>8.9698234166666668E-2</v>
      </c>
      <c r="W68" s="24">
        <v>5.3299945224652475E-3</v>
      </c>
      <c r="X68" s="24"/>
      <c r="Y68" s="113">
        <v>12</v>
      </c>
    </row>
    <row r="69" spans="1:25" s="1" customFormat="1" x14ac:dyDescent="0.2">
      <c r="A69" s="87">
        <v>375</v>
      </c>
      <c r="B69" s="2" t="s">
        <v>34</v>
      </c>
      <c r="C69" s="2" t="s">
        <v>29</v>
      </c>
      <c r="D69" s="54" t="s">
        <v>102</v>
      </c>
      <c r="E69" s="26" t="s">
        <v>98</v>
      </c>
      <c r="F69" s="50" t="s">
        <v>1</v>
      </c>
      <c r="G69" s="3"/>
      <c r="H69" s="3"/>
      <c r="I69" s="24">
        <v>57.997472162628569</v>
      </c>
      <c r="J69" s="24">
        <v>6.0606645944171254</v>
      </c>
      <c r="K69" s="24"/>
      <c r="L69" s="117">
        <v>68</v>
      </c>
      <c r="M69" s="60"/>
      <c r="N69" s="48">
        <v>-11.607740425531913</v>
      </c>
      <c r="O69" s="24">
        <v>1.2146142609874448</v>
      </c>
      <c r="P69" s="24"/>
      <c r="Q69" s="24">
        <v>8.0219574468085106</v>
      </c>
      <c r="R69" s="24">
        <v>0.2516715128434614</v>
      </c>
      <c r="S69" s="24"/>
      <c r="T69" s="113">
        <v>47</v>
      </c>
      <c r="U69" s="60"/>
      <c r="V69" s="48">
        <v>0.12732925661016947</v>
      </c>
      <c r="W69" s="24">
        <v>5.7229300513183179E-3</v>
      </c>
      <c r="X69" s="24"/>
      <c r="Y69" s="113">
        <v>59</v>
      </c>
    </row>
    <row r="70" spans="1:25" s="1" customFormat="1" ht="13.5" customHeight="1" x14ac:dyDescent="0.2">
      <c r="A70" s="87">
        <v>410</v>
      </c>
      <c r="B70" s="2" t="s">
        <v>18</v>
      </c>
      <c r="C70" s="2" t="s">
        <v>103</v>
      </c>
      <c r="D70" s="54" t="s">
        <v>104</v>
      </c>
      <c r="E70" s="26" t="s">
        <v>98</v>
      </c>
      <c r="F70" s="50" t="s">
        <v>1</v>
      </c>
      <c r="G70" s="3"/>
      <c r="H70" s="3"/>
      <c r="I70" s="24">
        <v>99.201044087316589</v>
      </c>
      <c r="J70" s="24">
        <v>13.462656948661319</v>
      </c>
      <c r="K70" s="24"/>
      <c r="L70" s="117">
        <v>44</v>
      </c>
      <c r="M70" s="60"/>
      <c r="N70" s="48">
        <v>-14.143923076923075</v>
      </c>
      <c r="O70" s="24">
        <v>0.59703449264204278</v>
      </c>
      <c r="P70" s="24"/>
      <c r="Q70" s="24">
        <v>7.9162307692307721</v>
      </c>
      <c r="R70" s="24">
        <v>0.21962048747235421</v>
      </c>
      <c r="S70" s="24"/>
      <c r="T70" s="113">
        <v>39</v>
      </c>
      <c r="U70" s="60"/>
      <c r="V70" s="48">
        <v>0.11148621738095242</v>
      </c>
      <c r="W70" s="24">
        <v>6.5542588579644715E-3</v>
      </c>
      <c r="X70" s="24"/>
      <c r="Y70" s="113">
        <v>42</v>
      </c>
    </row>
    <row r="71" spans="1:25" ht="13.5" customHeight="1" x14ac:dyDescent="0.2">
      <c r="A71" s="103">
        <v>502</v>
      </c>
      <c r="B71" s="2" t="s">
        <v>15</v>
      </c>
      <c r="C71" s="2" t="s">
        <v>16</v>
      </c>
      <c r="D71" s="54" t="s">
        <v>121</v>
      </c>
      <c r="E71" s="26" t="s">
        <v>98</v>
      </c>
      <c r="F71" s="50" t="s">
        <v>1</v>
      </c>
      <c r="G71" s="3"/>
      <c r="H71" s="3"/>
      <c r="I71" s="24">
        <v>115.29111438152704</v>
      </c>
      <c r="J71" s="24">
        <v>14.828624849460789</v>
      </c>
      <c r="K71" s="24"/>
      <c r="L71" s="117">
        <v>40</v>
      </c>
      <c r="M71" s="60"/>
      <c r="N71" s="48">
        <v>-14.215694444444443</v>
      </c>
      <c r="O71" s="24">
        <v>0.6513536513127749</v>
      </c>
      <c r="P71" s="24"/>
      <c r="Q71" s="24">
        <v>8.6407499999999988</v>
      </c>
      <c r="R71" s="24">
        <v>0.33847022418335659</v>
      </c>
      <c r="S71" s="24"/>
      <c r="T71" s="113">
        <v>36</v>
      </c>
      <c r="U71" s="60"/>
      <c r="V71" s="48">
        <v>9.7803617027027029E-2</v>
      </c>
      <c r="W71" s="24">
        <v>3.6983190963793522E-3</v>
      </c>
      <c r="X71" s="24"/>
      <c r="Y71" s="113">
        <v>37</v>
      </c>
    </row>
    <row r="72" spans="1:25" ht="13.5" customHeight="1" x14ac:dyDescent="0.2">
      <c r="A72" s="103">
        <v>543</v>
      </c>
      <c r="B72" s="2" t="s">
        <v>16</v>
      </c>
      <c r="C72" s="2" t="s">
        <v>67</v>
      </c>
      <c r="D72" s="54" t="s">
        <v>105</v>
      </c>
      <c r="E72" s="26" t="s">
        <v>98</v>
      </c>
      <c r="F72" s="50" t="s">
        <v>3</v>
      </c>
      <c r="G72" s="3"/>
      <c r="H72" s="3"/>
      <c r="I72" s="24">
        <v>58.818629628123169</v>
      </c>
      <c r="J72" s="24">
        <v>9.0081996112168063</v>
      </c>
      <c r="K72" s="24"/>
      <c r="L72" s="117">
        <v>59</v>
      </c>
      <c r="M72" s="60"/>
      <c r="N72" s="48">
        <v>-17.767681818181817</v>
      </c>
      <c r="O72" s="24">
        <v>0.93458221142270093</v>
      </c>
      <c r="P72" s="24"/>
      <c r="Q72" s="24">
        <v>7.5645000000000016</v>
      </c>
      <c r="R72" s="24">
        <v>0.34249285188756817</v>
      </c>
      <c r="S72" s="24"/>
      <c r="T72" s="113">
        <v>44</v>
      </c>
      <c r="U72" s="60"/>
      <c r="V72" s="48">
        <v>0.11959245519999998</v>
      </c>
      <c r="W72" s="24">
        <v>4.707151323043E-3</v>
      </c>
      <c r="X72" s="24"/>
      <c r="Y72" s="113">
        <v>50</v>
      </c>
    </row>
    <row r="73" spans="1:25" ht="13.5" customHeight="1" x14ac:dyDescent="0.2">
      <c r="A73" s="103">
        <v>560</v>
      </c>
      <c r="B73" s="2" t="s">
        <v>33</v>
      </c>
      <c r="C73" s="2" t="s">
        <v>36</v>
      </c>
      <c r="D73" s="54" t="s">
        <v>106</v>
      </c>
      <c r="E73" s="26" t="s">
        <v>98</v>
      </c>
      <c r="F73" s="50" t="s">
        <v>133</v>
      </c>
      <c r="G73" s="3"/>
      <c r="H73" s="3"/>
      <c r="I73" s="24">
        <v>42.418495551048679</v>
      </c>
      <c r="J73" s="24">
        <v>7.8753937743782743</v>
      </c>
      <c r="K73" s="24"/>
      <c r="L73" s="117">
        <v>31</v>
      </c>
      <c r="M73" s="60"/>
      <c r="N73" s="48">
        <v>-12.27478928571429</v>
      </c>
      <c r="O73" s="24">
        <v>0.94196131179524789</v>
      </c>
      <c r="P73" s="24"/>
      <c r="Q73" s="24">
        <v>9.0651428571428578</v>
      </c>
      <c r="R73" s="24">
        <v>0.4917672851422773</v>
      </c>
      <c r="S73" s="24"/>
      <c r="T73" s="113">
        <v>28</v>
      </c>
      <c r="U73" s="60"/>
      <c r="V73" s="48">
        <v>0.11846205448275862</v>
      </c>
      <c r="W73" s="24">
        <v>8.2225737325360738E-3</v>
      </c>
      <c r="X73" s="24"/>
      <c r="Y73" s="113">
        <v>29</v>
      </c>
    </row>
    <row r="74" spans="1:25" ht="13.5" customHeight="1" x14ac:dyDescent="0.2">
      <c r="A74" s="103">
        <v>567</v>
      </c>
      <c r="B74" s="2" t="s">
        <v>16</v>
      </c>
      <c r="C74" s="2" t="s">
        <v>39</v>
      </c>
      <c r="D74" s="54" t="s">
        <v>107</v>
      </c>
      <c r="E74" s="26" t="s">
        <v>98</v>
      </c>
      <c r="F74" s="50" t="s">
        <v>133</v>
      </c>
      <c r="G74" s="3"/>
      <c r="H74" s="3"/>
      <c r="I74" s="24">
        <v>65.606617170258758</v>
      </c>
      <c r="J74" s="24">
        <v>10.254372360364171</v>
      </c>
      <c r="K74" s="24"/>
      <c r="L74" s="117">
        <v>42</v>
      </c>
      <c r="M74" s="12"/>
      <c r="N74" s="48">
        <v>-24.773526315789479</v>
      </c>
      <c r="O74" s="24">
        <v>1.0041173854014724</v>
      </c>
      <c r="P74" s="24"/>
      <c r="Q74" s="24">
        <v>8.4701578947368432</v>
      </c>
      <c r="R74" s="24">
        <v>0.41247030071336915</v>
      </c>
      <c r="S74" s="24"/>
      <c r="T74" s="113">
        <v>38</v>
      </c>
      <c r="U74" s="12"/>
      <c r="V74" s="48">
        <v>0.11402081846153843</v>
      </c>
      <c r="W74" s="24">
        <v>6.050508267062292E-3</v>
      </c>
      <c r="X74" s="24"/>
      <c r="Y74" s="113">
        <v>26</v>
      </c>
    </row>
    <row r="75" spans="1:25" ht="13.5" customHeight="1" x14ac:dyDescent="0.2">
      <c r="A75" s="103">
        <v>578</v>
      </c>
      <c r="B75" s="2" t="s">
        <v>67</v>
      </c>
      <c r="C75" s="2" t="s">
        <v>16</v>
      </c>
      <c r="D75" s="54" t="s">
        <v>108</v>
      </c>
      <c r="E75" s="26" t="s">
        <v>98</v>
      </c>
      <c r="F75" s="50" t="s">
        <v>3</v>
      </c>
      <c r="G75" s="3"/>
      <c r="H75" s="3"/>
      <c r="I75" s="24">
        <v>72.279900624410089</v>
      </c>
      <c r="J75" s="24">
        <v>8.5078888602561769</v>
      </c>
      <c r="K75" s="24"/>
      <c r="L75" s="117">
        <v>40</v>
      </c>
      <c r="M75" s="60"/>
      <c r="N75" s="48">
        <v>-14.347857142857142</v>
      </c>
      <c r="O75" s="24">
        <v>1.0366731550938302</v>
      </c>
      <c r="P75" s="24"/>
      <c r="Q75" s="24">
        <v>8.628371428571425</v>
      </c>
      <c r="R75" s="24">
        <v>0.41761865739116827</v>
      </c>
      <c r="S75" s="24"/>
      <c r="T75" s="113">
        <v>35</v>
      </c>
      <c r="U75" s="60"/>
      <c r="V75" s="48">
        <v>0.10313136142857141</v>
      </c>
      <c r="W75" s="24">
        <v>3.3390899695283994E-3</v>
      </c>
      <c r="X75" s="24"/>
      <c r="Y75" s="113">
        <v>36</v>
      </c>
    </row>
    <row r="76" spans="1:25" ht="13.5" customHeight="1" x14ac:dyDescent="0.2">
      <c r="A76" s="103">
        <v>581</v>
      </c>
      <c r="B76" s="2" t="s">
        <v>33</v>
      </c>
      <c r="C76" s="2" t="s">
        <v>34</v>
      </c>
      <c r="D76" s="54" t="s">
        <v>109</v>
      </c>
      <c r="E76" s="26" t="s">
        <v>98</v>
      </c>
      <c r="F76" s="50" t="s">
        <v>133</v>
      </c>
      <c r="G76" s="3"/>
      <c r="H76" s="3"/>
      <c r="I76" s="24">
        <v>45.743308764097861</v>
      </c>
      <c r="J76" s="24">
        <v>5.2238395566467695</v>
      </c>
      <c r="K76" s="24"/>
      <c r="L76" s="117">
        <v>52</v>
      </c>
      <c r="M76" s="60"/>
      <c r="N76" s="48">
        <v>-22.21083333333333</v>
      </c>
      <c r="O76" s="24">
        <v>1.2913903409422962</v>
      </c>
      <c r="P76" s="24"/>
      <c r="Q76" s="24">
        <v>6.8038571428571419</v>
      </c>
      <c r="R76" s="24">
        <v>0.32746368182880109</v>
      </c>
      <c r="S76" s="24"/>
      <c r="T76" s="113">
        <v>42</v>
      </c>
      <c r="U76" s="60"/>
      <c r="V76" s="48">
        <v>0.10580440119047621</v>
      </c>
      <c r="W76" s="24">
        <v>4.2523243631181875E-3</v>
      </c>
      <c r="X76" s="24"/>
      <c r="Y76" s="113">
        <v>43</v>
      </c>
    </row>
    <row r="77" spans="1:25" ht="13.5" customHeight="1" x14ac:dyDescent="0.2">
      <c r="A77" s="103">
        <v>586</v>
      </c>
      <c r="B77" s="2" t="s">
        <v>34</v>
      </c>
      <c r="C77" s="2" t="s">
        <v>18</v>
      </c>
      <c r="D77" s="54" t="s">
        <v>110</v>
      </c>
      <c r="E77" s="26" t="s">
        <v>98</v>
      </c>
      <c r="F77" s="50" t="s">
        <v>137</v>
      </c>
      <c r="G77" s="3"/>
      <c r="H77" s="3"/>
      <c r="I77" s="24">
        <v>131.56317797254587</v>
      </c>
      <c r="J77" s="24">
        <v>12.127577798333768</v>
      </c>
      <c r="K77" s="24"/>
      <c r="L77" s="117">
        <v>81</v>
      </c>
      <c r="M77" s="60"/>
      <c r="N77" s="48">
        <v>-16.76605797101449</v>
      </c>
      <c r="O77" s="24">
        <v>0.66162817456847001</v>
      </c>
      <c r="P77" s="24"/>
      <c r="Q77" s="24">
        <v>8.8855652173913064</v>
      </c>
      <c r="R77" s="24">
        <v>0.25559958468069344</v>
      </c>
      <c r="S77" s="24"/>
      <c r="T77" s="113">
        <v>69</v>
      </c>
      <c r="U77" s="60"/>
      <c r="V77" s="48">
        <v>9.8074017272727285E-2</v>
      </c>
      <c r="W77" s="24">
        <v>2.4562984695575621E-3</v>
      </c>
      <c r="X77" s="24"/>
      <c r="Y77" s="113">
        <v>77</v>
      </c>
    </row>
    <row r="78" spans="1:25" ht="13.5" customHeight="1" x14ac:dyDescent="0.2">
      <c r="A78" s="103">
        <v>588</v>
      </c>
      <c r="B78" s="2" t="s">
        <v>33</v>
      </c>
      <c r="C78" s="2" t="s">
        <v>25</v>
      </c>
      <c r="D78" s="54" t="s">
        <v>111</v>
      </c>
      <c r="E78" s="26" t="s">
        <v>98</v>
      </c>
      <c r="F78" s="50" t="s">
        <v>3</v>
      </c>
      <c r="G78" s="3"/>
      <c r="H78" s="4"/>
      <c r="I78" s="24">
        <v>44.154168378670555</v>
      </c>
      <c r="J78" s="24">
        <v>6.8311170788144961</v>
      </c>
      <c r="K78" s="24"/>
      <c r="L78" s="117">
        <v>35</v>
      </c>
      <c r="M78" s="60"/>
      <c r="N78" s="48">
        <v>-15.073000000000002</v>
      </c>
      <c r="O78" s="24">
        <v>1.0815809954577809</v>
      </c>
      <c r="P78" s="24"/>
      <c r="Q78" s="24">
        <v>6.9895714285714297</v>
      </c>
      <c r="R78" s="24">
        <v>0.40829511783780648</v>
      </c>
      <c r="S78" s="24"/>
      <c r="T78" s="113">
        <v>28</v>
      </c>
      <c r="U78" s="60"/>
      <c r="V78" s="48">
        <v>0.10866201166666667</v>
      </c>
      <c r="W78" s="24">
        <v>5.5009095687332775E-3</v>
      </c>
      <c r="X78" s="24"/>
      <c r="Y78" s="113">
        <v>24</v>
      </c>
    </row>
    <row r="79" spans="1:25" ht="13.5" customHeight="1" x14ac:dyDescent="0.2">
      <c r="A79" s="103">
        <v>604</v>
      </c>
      <c r="B79" s="2" t="s">
        <v>33</v>
      </c>
      <c r="C79" s="2" t="s">
        <v>44</v>
      </c>
      <c r="D79" s="65" t="s">
        <v>112</v>
      </c>
      <c r="E79" s="26" t="s">
        <v>98</v>
      </c>
      <c r="F79" s="50" t="s">
        <v>1</v>
      </c>
      <c r="H79" s="23"/>
      <c r="I79" s="24">
        <v>98.316077313511144</v>
      </c>
      <c r="J79" s="24">
        <v>15.122206223582072</v>
      </c>
      <c r="K79" s="24"/>
      <c r="L79" s="117">
        <v>29</v>
      </c>
      <c r="M79" s="60"/>
      <c r="N79" s="48">
        <v>-16.635555555555555</v>
      </c>
      <c r="O79" s="24">
        <v>0.69171909662953179</v>
      </c>
      <c r="P79" s="24"/>
      <c r="Q79" s="24">
        <v>7.0388888888888888</v>
      </c>
      <c r="R79" s="24">
        <v>0.40431802816747364</v>
      </c>
      <c r="S79" s="24"/>
      <c r="T79" s="113">
        <v>9</v>
      </c>
      <c r="U79" s="60"/>
      <c r="V79" s="48">
        <v>0.10962584923076922</v>
      </c>
      <c r="W79" s="24">
        <v>7.395357440852986E-3</v>
      </c>
      <c r="X79" s="24"/>
      <c r="Y79" s="113">
        <v>26</v>
      </c>
    </row>
    <row r="80" spans="1:25" ht="13.5" customHeight="1" x14ac:dyDescent="0.2">
      <c r="A80" s="103">
        <v>605</v>
      </c>
      <c r="B80" s="2" t="s">
        <v>66</v>
      </c>
      <c r="C80" s="2" t="s">
        <v>25</v>
      </c>
      <c r="D80" s="65" t="s">
        <v>113</v>
      </c>
      <c r="E80" s="26" t="s">
        <v>98</v>
      </c>
      <c r="F80" s="50" t="s">
        <v>1</v>
      </c>
      <c r="H80" s="23"/>
      <c r="I80" s="24">
        <v>71.573500781633967</v>
      </c>
      <c r="J80" s="24">
        <v>10.565121645928532</v>
      </c>
      <c r="K80" s="24"/>
      <c r="L80" s="117">
        <v>45</v>
      </c>
      <c r="M80" s="60"/>
      <c r="N80" s="48">
        <v>-15.090384615384615</v>
      </c>
      <c r="O80" s="24">
        <v>1.0911967761770818</v>
      </c>
      <c r="P80" s="24"/>
      <c r="Q80" s="24">
        <v>7.7126153846153844</v>
      </c>
      <c r="R80" s="24">
        <v>0.34429905639819286</v>
      </c>
      <c r="S80" s="24"/>
      <c r="T80" s="113">
        <v>13</v>
      </c>
      <c r="U80" s="60"/>
      <c r="V80" s="48">
        <v>0.110346945</v>
      </c>
      <c r="W80" s="24">
        <v>4.8686541444360031E-3</v>
      </c>
      <c r="X80" s="24"/>
      <c r="Y80" s="113">
        <v>32</v>
      </c>
    </row>
    <row r="81" spans="1:25" s="1" customFormat="1" x14ac:dyDescent="0.2">
      <c r="A81" s="103">
        <v>637</v>
      </c>
      <c r="B81" s="2" t="s">
        <v>17</v>
      </c>
      <c r="C81" s="2" t="s">
        <v>33</v>
      </c>
      <c r="D81" s="65" t="s">
        <v>114</v>
      </c>
      <c r="E81" s="26" t="s">
        <v>98</v>
      </c>
      <c r="F81" s="50" t="s">
        <v>3</v>
      </c>
      <c r="G81" s="50"/>
      <c r="H81" s="23"/>
      <c r="I81" s="24">
        <v>42.553728429380783</v>
      </c>
      <c r="J81" s="24">
        <v>8.4405942169422641</v>
      </c>
      <c r="K81" s="24"/>
      <c r="L81" s="117">
        <v>31</v>
      </c>
      <c r="M81" s="60"/>
      <c r="N81" s="48">
        <v>-11.145007142857141</v>
      </c>
      <c r="O81" s="24">
        <v>1.0675925470945689</v>
      </c>
      <c r="P81" s="24"/>
      <c r="Q81" s="24">
        <v>7.0612142857142848</v>
      </c>
      <c r="R81" s="24">
        <v>0.40428486524673923</v>
      </c>
      <c r="S81" s="24"/>
      <c r="T81" s="113">
        <v>28</v>
      </c>
      <c r="U81" s="60"/>
      <c r="V81" s="48">
        <v>0.11064573347826086</v>
      </c>
      <c r="W81" s="24">
        <v>5.6991175691783027E-3</v>
      </c>
      <c r="X81" s="24"/>
      <c r="Y81" s="113">
        <v>23</v>
      </c>
    </row>
    <row r="82" spans="1:25" s="1" customFormat="1" x14ac:dyDescent="0.2">
      <c r="A82" s="103">
        <v>701</v>
      </c>
      <c r="B82" s="2" t="s">
        <v>22</v>
      </c>
      <c r="C82" s="2" t="s">
        <v>93</v>
      </c>
      <c r="D82" s="65" t="s">
        <v>132</v>
      </c>
      <c r="E82" s="26" t="s">
        <v>98</v>
      </c>
      <c r="F82" s="50" t="s">
        <v>1</v>
      </c>
      <c r="G82" s="50"/>
      <c r="H82" s="23"/>
      <c r="I82" s="24">
        <v>147.12982920960025</v>
      </c>
      <c r="J82" s="24">
        <v>16.369476846213054</v>
      </c>
      <c r="K82" s="24"/>
      <c r="L82" s="117">
        <v>37</v>
      </c>
      <c r="M82" s="60"/>
      <c r="N82" s="48">
        <v>-14.212838709677419</v>
      </c>
      <c r="O82" s="24">
        <v>0.88986935503214371</v>
      </c>
      <c r="P82" s="24"/>
      <c r="Q82" s="24">
        <v>9.5817419354838709</v>
      </c>
      <c r="R82" s="24">
        <v>0.46052556224276542</v>
      </c>
      <c r="S82" s="24"/>
      <c r="T82" s="113">
        <v>31</v>
      </c>
      <c r="U82" s="60"/>
      <c r="V82" s="48">
        <v>9.2443004324324313E-2</v>
      </c>
      <c r="W82" s="24">
        <v>3.8614920158383352E-3</v>
      </c>
      <c r="X82" s="24"/>
      <c r="Y82" s="113">
        <v>37</v>
      </c>
    </row>
    <row r="83" spans="1:25" x14ac:dyDescent="0.2">
      <c r="A83" s="103">
        <v>737</v>
      </c>
      <c r="B83" s="2" t="s">
        <v>53</v>
      </c>
      <c r="C83" s="2" t="s">
        <v>25</v>
      </c>
      <c r="D83" s="65" t="s">
        <v>115</v>
      </c>
      <c r="E83" s="26" t="s">
        <v>98</v>
      </c>
      <c r="F83" s="50" t="s">
        <v>1</v>
      </c>
      <c r="H83" s="23"/>
      <c r="I83" s="24">
        <v>90.841400833079462</v>
      </c>
      <c r="J83" s="24">
        <v>15.805641799628484</v>
      </c>
      <c r="K83" s="24"/>
      <c r="L83" s="117">
        <v>39</v>
      </c>
      <c r="M83" s="60"/>
      <c r="N83" s="48">
        <v>-17.507999999999996</v>
      </c>
      <c r="O83" s="24">
        <v>0.73919821428356347</v>
      </c>
      <c r="P83" s="24"/>
      <c r="Q83" s="24">
        <v>7.8282000000000007</v>
      </c>
      <c r="R83" s="24">
        <v>0.31655746630538278</v>
      </c>
      <c r="S83" s="24"/>
      <c r="T83" s="113">
        <v>20</v>
      </c>
      <c r="U83" s="60"/>
      <c r="V83" s="48">
        <v>0.11262079689655173</v>
      </c>
      <c r="W83" s="24">
        <v>6.2189325659068821E-3</v>
      </c>
      <c r="X83" s="24"/>
      <c r="Y83" s="113">
        <v>29</v>
      </c>
    </row>
    <row r="84" spans="1:25" x14ac:dyDescent="0.2">
      <c r="A84" s="103">
        <v>751</v>
      </c>
      <c r="B84" s="2" t="s">
        <v>25</v>
      </c>
      <c r="C84" s="2" t="s">
        <v>17</v>
      </c>
      <c r="D84" s="65" t="s">
        <v>116</v>
      </c>
      <c r="E84" s="26" t="s">
        <v>98</v>
      </c>
      <c r="F84" s="50" t="s">
        <v>1</v>
      </c>
      <c r="H84" s="23"/>
      <c r="I84" s="24">
        <v>138.53256719989997</v>
      </c>
      <c r="J84" s="24">
        <v>22.001335671310692</v>
      </c>
      <c r="K84" s="24"/>
      <c r="L84" s="117">
        <v>39</v>
      </c>
      <c r="M84" s="60"/>
      <c r="N84" s="48">
        <v>-16.609176470588231</v>
      </c>
      <c r="O84" s="24">
        <v>0.81122045054175584</v>
      </c>
      <c r="P84" s="24"/>
      <c r="Q84" s="24">
        <v>8.0140588235294121</v>
      </c>
      <c r="R84" s="24">
        <v>0.37681878027254712</v>
      </c>
      <c r="S84" s="24"/>
      <c r="T84" s="113">
        <v>17</v>
      </c>
      <c r="U84" s="60"/>
      <c r="V84" s="48">
        <v>0.1118076075</v>
      </c>
      <c r="W84" s="24">
        <v>5.1749061793566588E-3</v>
      </c>
      <c r="X84" s="24"/>
      <c r="Y84" s="113">
        <v>36</v>
      </c>
    </row>
    <row r="85" spans="1:25" x14ac:dyDescent="0.2">
      <c r="A85" s="103">
        <v>760</v>
      </c>
      <c r="B85" s="2" t="s">
        <v>33</v>
      </c>
      <c r="C85" s="2" t="s">
        <v>46</v>
      </c>
      <c r="D85" s="65" t="s">
        <v>117</v>
      </c>
      <c r="E85" s="26" t="s">
        <v>98</v>
      </c>
      <c r="F85" s="50" t="s">
        <v>1</v>
      </c>
      <c r="H85" s="23"/>
      <c r="I85" s="24">
        <v>70.643766879291562</v>
      </c>
      <c r="J85" s="24">
        <v>14.885118464685352</v>
      </c>
      <c r="K85" s="24"/>
      <c r="L85" s="117">
        <v>39</v>
      </c>
      <c r="M85" s="60"/>
      <c r="N85" s="48">
        <v>-18.383851851851851</v>
      </c>
      <c r="O85" s="24">
        <v>0.82633662370735528</v>
      </c>
      <c r="P85" s="24"/>
      <c r="Q85" s="24">
        <v>8.0286296296296289</v>
      </c>
      <c r="R85" s="24">
        <v>0.40165196677767695</v>
      </c>
      <c r="S85" s="24"/>
      <c r="T85" s="113">
        <v>27</v>
      </c>
      <c r="U85" s="60"/>
      <c r="V85" s="48">
        <v>0.120429038</v>
      </c>
      <c r="W85" s="24">
        <v>7.3511869580341034E-3</v>
      </c>
      <c r="X85" s="24"/>
      <c r="Y85" s="113">
        <v>30</v>
      </c>
    </row>
    <row r="86" spans="1:25" customFormat="1" ht="15" x14ac:dyDescent="0.25">
      <c r="A86" s="103">
        <v>771</v>
      </c>
      <c r="B86" s="2" t="s">
        <v>66</v>
      </c>
      <c r="C86" s="2" t="s">
        <v>27</v>
      </c>
      <c r="D86" s="65" t="s">
        <v>118</v>
      </c>
      <c r="E86" s="26" t="s">
        <v>98</v>
      </c>
      <c r="F86" s="50" t="s">
        <v>1</v>
      </c>
      <c r="G86" s="50"/>
      <c r="H86" s="104"/>
      <c r="I86" s="24">
        <v>73.144013986016702</v>
      </c>
      <c r="J86" s="24">
        <v>10.75322627261756</v>
      </c>
      <c r="K86" s="24"/>
      <c r="L86" s="117">
        <v>38</v>
      </c>
      <c r="M86" s="60"/>
      <c r="N86" s="48">
        <v>-18.004999999999995</v>
      </c>
      <c r="O86" s="24">
        <v>0.76829692984795983</v>
      </c>
      <c r="P86" s="24"/>
      <c r="Q86" s="24">
        <v>7.9585517241379309</v>
      </c>
      <c r="R86" s="24">
        <v>0.26675761855966268</v>
      </c>
      <c r="S86" s="24"/>
      <c r="T86" s="113">
        <v>29</v>
      </c>
      <c r="U86" s="60"/>
      <c r="V86" s="48">
        <v>0.10144830823529413</v>
      </c>
      <c r="W86" s="24">
        <v>4.1203358780287714E-3</v>
      </c>
      <c r="X86" s="24"/>
      <c r="Y86" s="113">
        <v>34</v>
      </c>
    </row>
    <row r="87" spans="1:25" s="64" customFormat="1" ht="15" x14ac:dyDescent="0.25">
      <c r="A87" s="103">
        <v>780</v>
      </c>
      <c r="B87" s="2" t="s">
        <v>84</v>
      </c>
      <c r="C87" s="2" t="s">
        <v>66</v>
      </c>
      <c r="D87" s="65" t="s">
        <v>119</v>
      </c>
      <c r="E87" s="26" t="s">
        <v>98</v>
      </c>
      <c r="F87" s="50" t="s">
        <v>1</v>
      </c>
      <c r="G87" s="50"/>
      <c r="H87" s="105"/>
      <c r="I87" s="24">
        <v>73.503071614475559</v>
      </c>
      <c r="J87" s="24">
        <v>10.724626374020144</v>
      </c>
      <c r="K87" s="24"/>
      <c r="L87" s="117">
        <v>73</v>
      </c>
      <c r="M87" s="60"/>
      <c r="N87" s="48">
        <v>-19.889483870967748</v>
      </c>
      <c r="O87" s="24">
        <v>0.77291038525776368</v>
      </c>
      <c r="P87" s="24"/>
      <c r="Q87" s="24">
        <v>9.0876612903225826</v>
      </c>
      <c r="R87" s="24">
        <v>0.27348402778786723</v>
      </c>
      <c r="S87" s="24"/>
      <c r="T87" s="113">
        <v>62</v>
      </c>
      <c r="U87" s="60"/>
      <c r="V87" s="48">
        <v>0.14752024373134331</v>
      </c>
      <c r="W87" s="24">
        <v>8.5052952058695137E-3</v>
      </c>
      <c r="X87" s="24"/>
      <c r="Y87" s="113">
        <v>67</v>
      </c>
    </row>
    <row r="88" spans="1:25" x14ac:dyDescent="0.2">
      <c r="A88" s="103">
        <v>854</v>
      </c>
      <c r="B88" s="2" t="s">
        <v>33</v>
      </c>
      <c r="C88" s="2" t="s">
        <v>44</v>
      </c>
      <c r="D88" s="65" t="s">
        <v>120</v>
      </c>
      <c r="E88" s="26" t="s">
        <v>98</v>
      </c>
      <c r="F88" s="50" t="s">
        <v>1</v>
      </c>
      <c r="H88" s="28"/>
      <c r="I88" s="24">
        <v>63.909183775444525</v>
      </c>
      <c r="J88" s="24">
        <v>6.9626137674824111</v>
      </c>
      <c r="K88" s="24"/>
      <c r="L88" s="117">
        <v>71</v>
      </c>
      <c r="M88" s="60"/>
      <c r="N88" s="48">
        <v>-11.901916949152545</v>
      </c>
      <c r="O88" s="24">
        <v>0.98426689588089677</v>
      </c>
      <c r="P88" s="24"/>
      <c r="Q88" s="24">
        <v>7.6085762711864398</v>
      </c>
      <c r="R88" s="24">
        <v>0.28243615334268862</v>
      </c>
      <c r="S88" s="24"/>
      <c r="T88" s="113">
        <v>59</v>
      </c>
      <c r="U88" s="60"/>
      <c r="V88" s="48">
        <v>0.10229800075000002</v>
      </c>
      <c r="W88" s="24">
        <v>4.2181415237402577E-3</v>
      </c>
      <c r="X88" s="24"/>
      <c r="Y88" s="113">
        <v>65</v>
      </c>
    </row>
    <row r="89" spans="1:25" x14ac:dyDescent="0.2">
      <c r="A89" s="51"/>
      <c r="H89" s="23"/>
      <c r="I89" s="24"/>
      <c r="J89" s="24"/>
      <c r="K89" s="24"/>
      <c r="L89" s="117"/>
      <c r="M89" s="60"/>
      <c r="N89" s="48"/>
      <c r="O89" s="24"/>
      <c r="P89" s="24"/>
      <c r="Q89" s="24"/>
      <c r="R89" s="24"/>
      <c r="S89" s="24"/>
      <c r="T89" s="113"/>
      <c r="U89" s="60"/>
      <c r="V89" s="48"/>
      <c r="W89" s="24"/>
      <c r="X89" s="24"/>
      <c r="Y89" s="113"/>
    </row>
    <row r="90" spans="1:25" ht="15" x14ac:dyDescent="0.25">
      <c r="A90" s="9"/>
      <c r="B90" s="9"/>
      <c r="C90" s="9"/>
      <c r="D90" s="9"/>
      <c r="E90" s="9"/>
      <c r="F90" s="106"/>
      <c r="G90" s="9"/>
      <c r="H90" s="9"/>
      <c r="I90" s="66"/>
      <c r="J90" s="66"/>
      <c r="K90" s="66"/>
      <c r="L90" s="115"/>
      <c r="M90" s="66"/>
      <c r="N90" s="66"/>
      <c r="O90" s="66"/>
      <c r="P90" s="66"/>
      <c r="Q90" s="66"/>
      <c r="R90" s="66"/>
      <c r="S90" s="66"/>
      <c r="T90" s="115"/>
      <c r="U90" s="66"/>
      <c r="V90" s="66"/>
      <c r="W90" s="66"/>
      <c r="X90" s="66"/>
      <c r="Y90" s="115"/>
    </row>
    <row r="91" spans="1:25" ht="15" x14ac:dyDescent="0.25"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115"/>
      <c r="U91" s="66"/>
      <c r="V91" s="66"/>
      <c r="W91" s="66"/>
      <c r="X91" s="66"/>
      <c r="Y91" s="115"/>
    </row>
    <row r="92" spans="1:25" ht="15" x14ac:dyDescent="0.25">
      <c r="D92" s="78"/>
      <c r="E92" s="78"/>
      <c r="G92" s="78"/>
      <c r="H92" s="79"/>
      <c r="I92" s="52"/>
      <c r="J92" s="52"/>
      <c r="K92" s="52"/>
      <c r="L92" s="51"/>
      <c r="M92" s="51"/>
      <c r="N92" s="52"/>
      <c r="O92" s="52"/>
      <c r="P92" s="52"/>
      <c r="Q92" s="52"/>
      <c r="R92" s="74"/>
      <c r="S92" s="74"/>
      <c r="T92" s="110"/>
      <c r="U92" s="51"/>
      <c r="V92" s="52"/>
      <c r="W92" s="52"/>
      <c r="X92" s="52"/>
      <c r="Y92" s="115"/>
    </row>
    <row r="93" spans="1:25" x14ac:dyDescent="0.2">
      <c r="I93" s="52"/>
      <c r="J93" s="52"/>
      <c r="K93" s="52"/>
      <c r="L93" s="50"/>
      <c r="M93" s="50"/>
      <c r="N93" s="52"/>
      <c r="O93" s="52"/>
      <c r="P93" s="52"/>
      <c r="Q93" s="52"/>
      <c r="R93" s="74"/>
      <c r="S93" s="74"/>
      <c r="T93" s="111"/>
      <c r="U93" s="50"/>
      <c r="V93" s="52"/>
      <c r="W93" s="52"/>
      <c r="X93" s="52"/>
      <c r="Y93" s="111"/>
    </row>
    <row r="94" spans="1:25" x14ac:dyDescent="0.2">
      <c r="F94" s="106"/>
      <c r="I94" s="52"/>
      <c r="J94" s="52"/>
      <c r="K94" s="52"/>
      <c r="L94" s="50"/>
      <c r="M94" s="50"/>
      <c r="N94" s="52"/>
      <c r="O94" s="52"/>
      <c r="P94" s="52"/>
      <c r="Q94" s="52"/>
      <c r="R94" s="74"/>
      <c r="S94" s="74"/>
      <c r="T94" s="111"/>
      <c r="U94" s="50"/>
      <c r="V94" s="52"/>
      <c r="W94" s="52"/>
      <c r="X94" s="52"/>
      <c r="Y94" s="111"/>
    </row>
    <row r="95" spans="1:25" x14ac:dyDescent="0.2">
      <c r="I95" s="52"/>
      <c r="J95" s="52"/>
      <c r="K95" s="52"/>
      <c r="L95" s="50"/>
      <c r="M95" s="50"/>
      <c r="N95" s="52"/>
      <c r="O95" s="52"/>
      <c r="P95" s="52"/>
      <c r="Q95" s="52"/>
      <c r="R95" s="74"/>
      <c r="S95" s="74"/>
      <c r="T95" s="50"/>
      <c r="U95" s="50"/>
      <c r="V95" s="52"/>
      <c r="W95" s="52"/>
      <c r="X95" s="52"/>
      <c r="Y95" s="50"/>
    </row>
    <row r="96" spans="1:25" x14ac:dyDescent="0.2">
      <c r="D96" s="78"/>
      <c r="E96" s="78"/>
      <c r="G96" s="78"/>
      <c r="H96" s="80"/>
      <c r="I96" s="52"/>
      <c r="J96" s="52"/>
      <c r="K96" s="52"/>
      <c r="L96" s="50"/>
      <c r="M96" s="50"/>
      <c r="N96" s="52"/>
      <c r="O96" s="52"/>
      <c r="P96" s="52"/>
      <c r="Q96" s="52"/>
      <c r="R96" s="74"/>
      <c r="S96" s="74"/>
      <c r="T96" s="50"/>
      <c r="U96" s="50"/>
      <c r="V96" s="52"/>
      <c r="W96" s="52"/>
      <c r="X96" s="52"/>
      <c r="Y96" s="50"/>
    </row>
    <row r="97" spans="1:25" x14ac:dyDescent="0.2">
      <c r="I97" s="52"/>
      <c r="J97" s="52"/>
      <c r="K97" s="52"/>
      <c r="L97" s="50"/>
      <c r="M97" s="50"/>
      <c r="N97" s="52"/>
      <c r="O97" s="52"/>
      <c r="P97" s="52"/>
      <c r="Q97" s="52"/>
      <c r="R97" s="74"/>
      <c r="S97" s="74"/>
      <c r="T97" s="50"/>
      <c r="U97" s="50"/>
      <c r="V97" s="52"/>
      <c r="W97" s="52"/>
      <c r="X97" s="52"/>
      <c r="Y97" s="50"/>
    </row>
    <row r="98" spans="1:25" x14ac:dyDescent="0.2">
      <c r="I98" s="52"/>
      <c r="J98" s="52"/>
      <c r="K98" s="52"/>
      <c r="L98" s="50"/>
      <c r="M98" s="50"/>
      <c r="N98" s="52"/>
      <c r="O98" s="52"/>
      <c r="P98" s="52"/>
      <c r="Q98" s="52"/>
      <c r="R98" s="74"/>
      <c r="S98" s="74"/>
      <c r="T98" s="50"/>
      <c r="U98" s="50"/>
      <c r="V98" s="52"/>
      <c r="W98" s="52"/>
      <c r="X98" s="52"/>
      <c r="Y98" s="50"/>
    </row>
    <row r="99" spans="1:25" x14ac:dyDescent="0.2">
      <c r="I99" s="52"/>
      <c r="J99" s="52"/>
      <c r="K99" s="52"/>
      <c r="L99" s="50"/>
      <c r="M99" s="50"/>
      <c r="N99" s="52"/>
      <c r="O99" s="52"/>
      <c r="P99" s="52"/>
      <c r="Q99" s="52"/>
      <c r="R99" s="74"/>
      <c r="S99" s="74"/>
      <c r="T99" s="50"/>
      <c r="U99" s="50"/>
      <c r="V99" s="52"/>
      <c r="W99" s="52"/>
      <c r="X99" s="52"/>
      <c r="Y99" s="50"/>
    </row>
    <row r="100" spans="1:25" x14ac:dyDescent="0.2">
      <c r="I100" s="52"/>
      <c r="J100" s="52"/>
      <c r="K100" s="52"/>
      <c r="L100" s="50"/>
      <c r="M100" s="50"/>
      <c r="N100" s="52"/>
      <c r="O100" s="52"/>
      <c r="P100" s="52"/>
      <c r="Q100" s="52"/>
      <c r="R100" s="74"/>
      <c r="S100" s="74"/>
      <c r="T100" s="50"/>
      <c r="U100" s="50"/>
      <c r="V100" s="52"/>
      <c r="W100" s="52"/>
      <c r="X100" s="52"/>
      <c r="Y100" s="50"/>
    </row>
    <row r="101" spans="1:25" x14ac:dyDescent="0.2">
      <c r="I101" s="52"/>
      <c r="J101" s="52"/>
      <c r="K101" s="52"/>
      <c r="L101" s="50"/>
      <c r="M101" s="50"/>
      <c r="N101" s="52"/>
      <c r="O101" s="52"/>
      <c r="P101" s="52"/>
      <c r="Q101" s="52"/>
      <c r="R101" s="74"/>
      <c r="S101" s="74"/>
      <c r="T101" s="50"/>
      <c r="U101" s="50"/>
      <c r="V101" s="52"/>
      <c r="W101" s="52"/>
      <c r="X101" s="52"/>
      <c r="Y101" s="50"/>
    </row>
    <row r="102" spans="1:25" x14ac:dyDescent="0.2">
      <c r="A102" s="76"/>
      <c r="B102" s="76"/>
      <c r="C102" s="70"/>
      <c r="I102" s="52"/>
      <c r="J102" s="52"/>
      <c r="K102" s="52"/>
      <c r="L102" s="50"/>
      <c r="M102" s="50"/>
      <c r="N102" s="52"/>
      <c r="O102" s="52"/>
      <c r="P102" s="52"/>
      <c r="Q102" s="52"/>
      <c r="R102" s="74"/>
      <c r="S102" s="74"/>
      <c r="T102" s="50"/>
      <c r="U102" s="50"/>
      <c r="V102" s="52"/>
      <c r="W102" s="52"/>
      <c r="X102" s="52"/>
      <c r="Y102" s="50"/>
    </row>
    <row r="103" spans="1:25" x14ac:dyDescent="0.2">
      <c r="I103" s="52"/>
      <c r="J103" s="52"/>
      <c r="K103" s="52"/>
      <c r="L103" s="50"/>
      <c r="M103" s="50"/>
      <c r="N103" s="52"/>
      <c r="O103" s="52"/>
      <c r="P103" s="52"/>
      <c r="Q103" s="52"/>
      <c r="R103" s="74"/>
      <c r="S103" s="74"/>
      <c r="T103" s="50"/>
      <c r="U103" s="50"/>
      <c r="V103" s="52"/>
      <c r="W103" s="52"/>
      <c r="X103" s="52"/>
      <c r="Y103" s="50"/>
    </row>
    <row r="104" spans="1:25" x14ac:dyDescent="0.2">
      <c r="I104" s="52"/>
      <c r="J104" s="52"/>
      <c r="K104" s="52"/>
      <c r="L104" s="50"/>
      <c r="M104" s="50"/>
      <c r="N104" s="52"/>
      <c r="O104" s="52"/>
      <c r="P104" s="52"/>
      <c r="Q104" s="52"/>
      <c r="R104" s="74"/>
      <c r="S104" s="74"/>
      <c r="T104" s="50"/>
      <c r="U104" s="50"/>
      <c r="V104" s="52"/>
      <c r="W104" s="52"/>
      <c r="X104" s="52"/>
      <c r="Y104" s="50"/>
    </row>
    <row r="105" spans="1:25" x14ac:dyDescent="0.2">
      <c r="I105" s="52"/>
      <c r="J105" s="52"/>
      <c r="K105" s="52"/>
      <c r="L105" s="50"/>
      <c r="M105" s="50"/>
      <c r="N105" s="52"/>
      <c r="O105" s="52"/>
      <c r="P105" s="52"/>
      <c r="Q105" s="52"/>
      <c r="R105" s="74"/>
      <c r="S105" s="74"/>
      <c r="T105" s="50"/>
      <c r="U105" s="50"/>
      <c r="V105" s="52"/>
      <c r="W105" s="52"/>
      <c r="X105" s="52"/>
      <c r="Y105" s="50"/>
    </row>
    <row r="106" spans="1:25" ht="15" customHeight="1" x14ac:dyDescent="0.2">
      <c r="I106" s="52"/>
      <c r="J106" s="52"/>
      <c r="K106" s="52"/>
      <c r="L106" s="50"/>
      <c r="M106" s="50"/>
      <c r="N106" s="52"/>
      <c r="O106" s="52"/>
      <c r="P106" s="52"/>
      <c r="Q106" s="52"/>
      <c r="R106" s="52"/>
      <c r="S106" s="52"/>
      <c r="T106" s="50"/>
      <c r="U106" s="50"/>
      <c r="V106" s="52"/>
      <c r="W106" s="52"/>
      <c r="X106" s="52"/>
      <c r="Y106" s="50"/>
    </row>
    <row r="107" spans="1:25" x14ac:dyDescent="0.2">
      <c r="I107" s="52"/>
      <c r="J107" s="52"/>
      <c r="K107" s="52"/>
      <c r="L107" s="50"/>
      <c r="M107" s="50"/>
      <c r="N107" s="52"/>
      <c r="O107" s="52"/>
      <c r="P107" s="52"/>
      <c r="Q107" s="52"/>
      <c r="R107" s="52"/>
      <c r="S107" s="52"/>
      <c r="T107" s="50"/>
      <c r="U107" s="50"/>
      <c r="V107" s="52"/>
      <c r="W107" s="52"/>
      <c r="X107" s="52"/>
      <c r="Y107" s="50"/>
    </row>
    <row r="108" spans="1:25" x14ac:dyDescent="0.2">
      <c r="I108" s="52"/>
      <c r="J108" s="52"/>
      <c r="K108" s="52"/>
      <c r="L108" s="50"/>
      <c r="M108" s="50"/>
      <c r="N108" s="52"/>
      <c r="O108" s="52"/>
      <c r="P108" s="52"/>
      <c r="Q108" s="52"/>
      <c r="R108" s="52"/>
      <c r="S108" s="52"/>
      <c r="T108" s="50"/>
      <c r="U108" s="50"/>
      <c r="V108" s="52"/>
      <c r="W108" s="52"/>
      <c r="X108" s="52"/>
      <c r="Y108" s="50"/>
    </row>
    <row r="109" spans="1:25" x14ac:dyDescent="0.2">
      <c r="I109" s="52"/>
      <c r="J109" s="52"/>
      <c r="K109" s="52"/>
      <c r="L109" s="50"/>
      <c r="M109" s="50"/>
      <c r="N109" s="52"/>
      <c r="O109" s="52"/>
      <c r="P109" s="52"/>
      <c r="Q109" s="52"/>
      <c r="R109" s="52"/>
      <c r="S109" s="52"/>
      <c r="T109" s="50"/>
      <c r="U109" s="50"/>
      <c r="V109" s="52"/>
      <c r="W109" s="52"/>
      <c r="X109" s="52"/>
      <c r="Y109" s="50"/>
    </row>
    <row r="137" spans="4:8" x14ac:dyDescent="0.2">
      <c r="F137" s="106"/>
    </row>
    <row r="139" spans="4:8" x14ac:dyDescent="0.2">
      <c r="D139" s="78"/>
      <c r="E139" s="78"/>
      <c r="G139" s="78"/>
      <c r="H139" s="79"/>
    </row>
  </sheetData>
  <mergeCells count="6">
    <mergeCell ref="I7:L7"/>
    <mergeCell ref="A6:F8"/>
    <mergeCell ref="A9:E10"/>
    <mergeCell ref="N7:T7"/>
    <mergeCell ref="V7:Y7"/>
    <mergeCell ref="I8:L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2"/>
  <sheetViews>
    <sheetView tabSelected="1" zoomScaleNormal="100" workbookViewId="0">
      <pane xSplit="7" ySplit="23" topLeftCell="H24" activePane="bottomRight" state="frozen"/>
      <selection pane="topRight" activeCell="H1" sqref="H1"/>
      <selection pane="bottomLeft" activeCell="A19" sqref="A19"/>
      <selection pane="bottomRight" activeCell="Y16" sqref="Y16"/>
    </sheetView>
  </sheetViews>
  <sheetFormatPr defaultRowHeight="12.75" x14ac:dyDescent="0.2"/>
  <cols>
    <col min="1" max="3" width="9.140625" style="142"/>
    <col min="4" max="4" width="10.7109375" style="142" customWidth="1"/>
    <col min="5" max="5" width="14.7109375" style="143" customWidth="1"/>
    <col min="6" max="8" width="10.7109375" style="142" customWidth="1"/>
    <col min="9" max="15" width="9.140625" style="155"/>
    <col min="16" max="16" width="9.140625" style="153"/>
    <col min="17" max="17" width="10.7109375" style="143" customWidth="1"/>
    <col min="18" max="18" width="9.140625" style="143"/>
    <col min="19" max="20" width="9.7109375" style="143" customWidth="1"/>
    <col min="21" max="21" width="9.7109375" style="143" hidden="1" customWidth="1"/>
    <col min="22" max="22" width="10.28515625" style="143" hidden="1" customWidth="1"/>
    <col min="23" max="26" width="10.28515625" style="143" customWidth="1"/>
    <col min="27" max="27" width="9.7109375" style="143" customWidth="1"/>
    <col min="28" max="16384" width="9.140625" style="143"/>
  </cols>
  <sheetData>
    <row r="1" spans="1:27" x14ac:dyDescent="0.2">
      <c r="A1" s="260" t="s">
        <v>179</v>
      </c>
      <c r="B1" s="260"/>
      <c r="C1" s="260"/>
      <c r="D1" s="260"/>
      <c r="E1" s="260"/>
      <c r="F1" s="260"/>
      <c r="G1" s="260"/>
    </row>
    <row r="3" spans="1:27" ht="13.5" thickBot="1" x14ac:dyDescent="0.25"/>
    <row r="4" spans="1:27" ht="12.75" customHeight="1" x14ac:dyDescent="0.2">
      <c r="A4" s="245"/>
      <c r="B4" s="245"/>
      <c r="C4" s="245"/>
      <c r="D4" s="245"/>
      <c r="E4" s="246"/>
      <c r="F4" s="245"/>
      <c r="G4" s="247"/>
      <c r="H4" s="245"/>
      <c r="I4" s="248"/>
      <c r="J4" s="249"/>
      <c r="K4" s="275" t="s">
        <v>151</v>
      </c>
      <c r="L4" s="275"/>
      <c r="M4" s="275"/>
      <c r="N4" s="275"/>
      <c r="O4" s="275"/>
      <c r="P4" s="275"/>
      <c r="Q4" s="250"/>
      <c r="R4" s="246"/>
      <c r="S4" s="251"/>
      <c r="T4" s="285" t="s">
        <v>154</v>
      </c>
      <c r="U4" s="285"/>
      <c r="V4" s="285"/>
      <c r="W4" s="285"/>
      <c r="X4" s="285"/>
      <c r="Y4" s="252"/>
      <c r="Z4" s="252"/>
      <c r="AA4" s="253"/>
    </row>
    <row r="5" spans="1:27" ht="12.75" customHeight="1" x14ac:dyDescent="0.2">
      <c r="A5" s="192" t="s">
        <v>145</v>
      </c>
      <c r="B5" s="137"/>
      <c r="C5" s="137"/>
      <c r="D5" s="137"/>
      <c r="E5" s="175"/>
      <c r="F5" s="137"/>
      <c r="G5" s="141"/>
      <c r="H5" s="137"/>
      <c r="I5" s="176"/>
      <c r="J5" s="177"/>
      <c r="K5" s="276"/>
      <c r="L5" s="276"/>
      <c r="M5" s="276"/>
      <c r="N5" s="276"/>
      <c r="O5" s="276"/>
      <c r="P5" s="276"/>
      <c r="Q5" s="186"/>
      <c r="R5" s="175"/>
      <c r="S5" s="152"/>
      <c r="T5" s="286"/>
      <c r="U5" s="286"/>
      <c r="V5" s="286"/>
      <c r="W5" s="286"/>
      <c r="X5" s="286"/>
      <c r="Y5" s="227"/>
      <c r="Z5" s="227"/>
      <c r="AA5" s="145"/>
    </row>
    <row r="6" spans="1:27" ht="15" customHeight="1" x14ac:dyDescent="0.2">
      <c r="A6" s="137"/>
      <c r="B6" s="254"/>
      <c r="C6" s="254"/>
      <c r="D6" s="254"/>
      <c r="E6" s="254"/>
      <c r="F6" s="254"/>
      <c r="G6" s="141"/>
      <c r="H6" s="137"/>
      <c r="I6" s="280" t="s">
        <v>157</v>
      </c>
      <c r="J6" s="281"/>
      <c r="K6" s="281"/>
      <c r="L6" s="281"/>
      <c r="M6" s="281"/>
      <c r="N6" s="281"/>
      <c r="O6" s="281"/>
      <c r="P6" s="281"/>
      <c r="Q6" s="282"/>
      <c r="R6" s="175"/>
      <c r="S6" s="277" t="s">
        <v>155</v>
      </c>
      <c r="T6" s="278"/>
      <c r="U6" s="278"/>
      <c r="V6" s="278"/>
      <c r="W6" s="278"/>
      <c r="X6" s="278"/>
      <c r="Y6" s="278"/>
      <c r="Z6" s="278"/>
      <c r="AA6" s="279"/>
    </row>
    <row r="7" spans="1:27" ht="15" customHeight="1" x14ac:dyDescent="0.2">
      <c r="A7" s="192" t="s">
        <v>156</v>
      </c>
      <c r="B7" s="254"/>
      <c r="C7" s="254"/>
      <c r="D7" s="254"/>
      <c r="E7" s="254"/>
      <c r="F7" s="254"/>
      <c r="G7" s="13"/>
      <c r="H7" s="137"/>
      <c r="I7" s="280"/>
      <c r="J7" s="281"/>
      <c r="K7" s="281"/>
      <c r="L7" s="281"/>
      <c r="M7" s="281"/>
      <c r="N7" s="281"/>
      <c r="O7" s="281"/>
      <c r="P7" s="281"/>
      <c r="Q7" s="282"/>
      <c r="R7" s="175"/>
      <c r="S7" s="277"/>
      <c r="T7" s="278"/>
      <c r="U7" s="278"/>
      <c r="V7" s="278"/>
      <c r="W7" s="278"/>
      <c r="X7" s="278"/>
      <c r="Y7" s="278"/>
      <c r="Z7" s="278"/>
      <c r="AA7" s="279"/>
    </row>
    <row r="8" spans="1:27" ht="15" customHeight="1" x14ac:dyDescent="0.2">
      <c r="A8" s="255"/>
      <c r="B8" s="256"/>
      <c r="C8" s="256"/>
      <c r="D8" s="256"/>
      <c r="E8" s="256"/>
      <c r="F8" s="256"/>
      <c r="G8" s="13"/>
      <c r="H8" s="137"/>
      <c r="I8" s="144"/>
      <c r="J8" s="187"/>
      <c r="K8" s="187"/>
      <c r="L8" s="187"/>
      <c r="M8" s="187"/>
      <c r="N8" s="187"/>
      <c r="O8" s="187"/>
      <c r="P8" s="187"/>
      <c r="Q8" s="188"/>
      <c r="R8" s="175"/>
      <c r="S8" s="152"/>
      <c r="T8" s="183"/>
      <c r="U8" s="183"/>
      <c r="V8" s="183"/>
      <c r="W8" s="183"/>
      <c r="X8" s="183"/>
      <c r="Y8" s="183"/>
      <c r="Z8" s="183"/>
      <c r="AA8" s="145"/>
    </row>
    <row r="9" spans="1:27" ht="15" customHeight="1" x14ac:dyDescent="0.2">
      <c r="A9" s="256"/>
      <c r="B9" s="256"/>
      <c r="C9" s="256"/>
      <c r="D9" s="256"/>
      <c r="E9" s="256"/>
      <c r="F9" s="256"/>
      <c r="G9" s="13"/>
      <c r="H9" s="137"/>
      <c r="I9" s="176"/>
      <c r="J9" s="177"/>
      <c r="K9" s="205" t="s">
        <v>172</v>
      </c>
      <c r="L9" s="189" t="s">
        <v>158</v>
      </c>
      <c r="M9" s="177"/>
      <c r="N9" s="190"/>
      <c r="O9" s="190"/>
      <c r="P9" s="190"/>
      <c r="Q9" s="146"/>
      <c r="R9" s="175"/>
      <c r="S9" s="204" t="s">
        <v>168</v>
      </c>
      <c r="T9" s="175"/>
      <c r="U9" s="257"/>
      <c r="V9" s="257"/>
      <c r="W9" s="257"/>
      <c r="X9" s="257"/>
      <c r="Y9" s="257"/>
      <c r="Z9" s="257"/>
      <c r="AA9" s="203"/>
    </row>
    <row r="10" spans="1:27" ht="15" customHeight="1" x14ac:dyDescent="0.2">
      <c r="A10" s="137"/>
      <c r="B10" s="256"/>
      <c r="C10" s="256"/>
      <c r="D10" s="256"/>
      <c r="E10" s="256"/>
      <c r="F10" s="256"/>
      <c r="G10" s="13"/>
      <c r="H10" s="137"/>
      <c r="I10" s="176"/>
      <c r="J10" s="177"/>
      <c r="K10" s="185" t="s">
        <v>173</v>
      </c>
      <c r="L10" s="189" t="s">
        <v>159</v>
      </c>
      <c r="M10" s="177"/>
      <c r="N10" s="190"/>
      <c r="O10" s="190"/>
      <c r="P10" s="190"/>
      <c r="Q10" s="148"/>
      <c r="R10" s="175"/>
      <c r="S10" s="283" t="s">
        <v>178</v>
      </c>
      <c r="T10" s="284"/>
      <c r="U10" s="284"/>
      <c r="V10" s="284"/>
      <c r="W10" s="284"/>
      <c r="X10" s="284"/>
      <c r="Y10" s="284"/>
      <c r="Z10" s="284"/>
      <c r="AA10" s="202"/>
    </row>
    <row r="11" spans="1:27" ht="15" customHeight="1" x14ac:dyDescent="0.2">
      <c r="A11" s="288" t="s">
        <v>180</v>
      </c>
      <c r="B11" s="289"/>
      <c r="C11" s="289"/>
      <c r="D11" s="289"/>
      <c r="E11" s="289"/>
      <c r="F11" s="290"/>
      <c r="G11" s="82"/>
      <c r="H11" s="180"/>
      <c r="I11" s="176"/>
      <c r="J11" s="177"/>
      <c r="K11" s="185" t="s">
        <v>174</v>
      </c>
      <c r="L11" s="189" t="s">
        <v>160</v>
      </c>
      <c r="M11" s="177"/>
      <c r="N11" s="191"/>
      <c r="O11" s="191"/>
      <c r="P11" s="191"/>
      <c r="Q11" s="146"/>
      <c r="R11" s="175"/>
      <c r="S11" s="283"/>
      <c r="T11" s="284"/>
      <c r="U11" s="284"/>
      <c r="V11" s="284"/>
      <c r="W11" s="284"/>
      <c r="X11" s="284"/>
      <c r="Y11" s="284"/>
      <c r="Z11" s="284"/>
      <c r="AA11" s="145"/>
    </row>
    <row r="12" spans="1:27" ht="15" customHeight="1" x14ac:dyDescent="0.2">
      <c r="A12" s="175"/>
      <c r="B12" s="258"/>
      <c r="C12" s="258"/>
      <c r="D12" s="258"/>
      <c r="E12" s="258"/>
      <c r="F12" s="234"/>
      <c r="G12" s="13"/>
      <c r="H12" s="137"/>
      <c r="I12" s="176"/>
      <c r="J12" s="177"/>
      <c r="K12" s="185" t="s">
        <v>175</v>
      </c>
      <c r="L12" s="189" t="s">
        <v>161</v>
      </c>
      <c r="M12" s="177"/>
      <c r="N12" s="192"/>
      <c r="O12" s="192"/>
      <c r="P12" s="192"/>
      <c r="Q12" s="146"/>
      <c r="R12" s="175"/>
      <c r="S12" s="204" t="s">
        <v>170</v>
      </c>
      <c r="T12" s="175"/>
      <c r="U12" s="175"/>
      <c r="V12" s="175"/>
      <c r="W12" s="175"/>
      <c r="X12" s="175"/>
      <c r="Y12" s="175"/>
      <c r="Z12" s="175"/>
      <c r="AA12" s="145"/>
    </row>
    <row r="13" spans="1:27" ht="15" customHeight="1" x14ac:dyDescent="0.2">
      <c r="A13" s="281" t="s">
        <v>140</v>
      </c>
      <c r="B13" s="281"/>
      <c r="C13" s="281"/>
      <c r="D13" s="281"/>
      <c r="E13" s="281"/>
      <c r="F13" s="234"/>
      <c r="G13" s="13"/>
      <c r="H13" s="137"/>
      <c r="I13" s="150"/>
      <c r="J13" s="193"/>
      <c r="K13" s="193"/>
      <c r="L13" s="193"/>
      <c r="M13" s="193"/>
      <c r="N13" s="193"/>
      <c r="O13" s="193"/>
      <c r="P13" s="193"/>
      <c r="Q13" s="194"/>
      <c r="R13" s="175"/>
      <c r="S13" s="204" t="s">
        <v>177</v>
      </c>
      <c r="T13" s="175"/>
      <c r="U13" s="175"/>
      <c r="V13" s="175"/>
      <c r="W13" s="175"/>
      <c r="X13" s="175"/>
      <c r="Y13" s="175"/>
      <c r="Z13" s="175"/>
      <c r="AA13" s="145"/>
    </row>
    <row r="14" spans="1:27" ht="15" customHeight="1" x14ac:dyDescent="0.25">
      <c r="A14" s="281"/>
      <c r="B14" s="281"/>
      <c r="C14" s="281"/>
      <c r="D14" s="281"/>
      <c r="E14" s="281"/>
      <c r="F14" s="180"/>
      <c r="G14" s="151"/>
      <c r="H14" s="137"/>
      <c r="I14" s="152"/>
      <c r="J14" s="175"/>
      <c r="K14" s="175"/>
      <c r="L14" s="177"/>
      <c r="M14" s="177"/>
      <c r="N14" s="177"/>
      <c r="O14" s="175"/>
      <c r="P14" s="174"/>
      <c r="Q14" s="168"/>
      <c r="R14" s="175"/>
      <c r="S14" s="152"/>
      <c r="T14" s="175"/>
      <c r="U14" s="175"/>
      <c r="V14" s="259"/>
      <c r="W14" s="259"/>
      <c r="X14" s="259"/>
      <c r="Y14" s="259"/>
      <c r="Z14" s="259"/>
      <c r="AA14" s="145"/>
    </row>
    <row r="15" spans="1:27" ht="15" customHeight="1" x14ac:dyDescent="0.2">
      <c r="A15" s="143"/>
      <c r="B15" s="143"/>
      <c r="C15" s="143"/>
      <c r="D15" s="143"/>
      <c r="F15" s="143"/>
      <c r="G15" s="145"/>
      <c r="I15" s="147"/>
      <c r="J15" s="180"/>
      <c r="L15" s="175"/>
      <c r="M15" s="175"/>
      <c r="N15" s="178" t="s">
        <v>142</v>
      </c>
      <c r="O15" s="178"/>
      <c r="P15" s="175"/>
      <c r="Q15" s="195"/>
      <c r="S15" s="152"/>
      <c r="T15" s="175"/>
      <c r="U15" s="175"/>
      <c r="W15" s="178" t="s">
        <v>153</v>
      </c>
      <c r="X15" s="178"/>
      <c r="Y15" s="178"/>
      <c r="Z15" s="178"/>
      <c r="AA15" s="145"/>
    </row>
    <row r="16" spans="1:27" x14ac:dyDescent="0.2">
      <c r="A16" s="143"/>
      <c r="B16" s="143"/>
      <c r="C16" s="143"/>
      <c r="D16" s="154"/>
      <c r="F16" s="143"/>
      <c r="G16" s="145"/>
      <c r="H16" s="143"/>
      <c r="I16" s="152"/>
      <c r="J16" s="175"/>
      <c r="L16" s="179" t="s">
        <v>143</v>
      </c>
      <c r="M16" s="179"/>
      <c r="N16" s="291">
        <v>0.26</v>
      </c>
      <c r="O16" s="209"/>
      <c r="P16" s="175"/>
      <c r="Q16" s="168"/>
      <c r="S16" s="152"/>
      <c r="T16" s="179" t="s">
        <v>152</v>
      </c>
      <c r="U16" s="179"/>
      <c r="W16" s="293">
        <v>0.26</v>
      </c>
      <c r="X16" s="184"/>
      <c r="Y16" s="184"/>
      <c r="Z16" s="184"/>
      <c r="AA16" s="145"/>
    </row>
    <row r="17" spans="1:27 16384:16384" x14ac:dyDescent="0.2">
      <c r="A17" s="143"/>
      <c r="B17" s="143"/>
      <c r="C17" s="143"/>
      <c r="D17" s="154"/>
      <c r="F17" s="143"/>
      <c r="G17" s="145"/>
      <c r="H17" s="143"/>
      <c r="I17" s="152"/>
      <c r="J17" s="175"/>
      <c r="L17" s="180" t="s">
        <v>162</v>
      </c>
      <c r="M17" s="180"/>
      <c r="N17" s="292">
        <v>0.76</v>
      </c>
      <c r="O17" s="210"/>
      <c r="P17" s="196"/>
      <c r="Q17" s="168"/>
      <c r="S17" s="152"/>
      <c r="T17" s="179" t="s">
        <v>163</v>
      </c>
      <c r="U17" s="175"/>
      <c r="W17" s="293">
        <v>0.76</v>
      </c>
      <c r="X17" s="184"/>
      <c r="Y17" s="184"/>
      <c r="Z17" s="184"/>
      <c r="AA17" s="145"/>
    </row>
    <row r="18" spans="1:27 16384:16384" x14ac:dyDescent="0.2">
      <c r="A18" s="143"/>
      <c r="B18" s="143"/>
      <c r="C18" s="143"/>
      <c r="D18" s="154"/>
      <c r="F18" s="143"/>
      <c r="G18" s="145"/>
      <c r="H18" s="143"/>
      <c r="I18" s="152"/>
      <c r="J18" s="175"/>
      <c r="L18" s="180" t="s">
        <v>84</v>
      </c>
      <c r="M18" s="180"/>
      <c r="N18" s="175"/>
      <c r="O18" s="9"/>
      <c r="P18" s="197"/>
      <c r="Q18" s="168"/>
      <c r="S18" s="152"/>
      <c r="T18" s="179" t="s">
        <v>164</v>
      </c>
      <c r="U18" s="175"/>
      <c r="W18" s="184" t="s">
        <v>171</v>
      </c>
      <c r="X18" s="9"/>
      <c r="Y18" s="9"/>
      <c r="Z18" s="9"/>
      <c r="AA18" s="145"/>
    </row>
    <row r="19" spans="1:27 16384:16384" x14ac:dyDescent="0.2">
      <c r="A19" s="143"/>
      <c r="B19" s="143"/>
      <c r="C19" s="143"/>
      <c r="D19" s="154"/>
      <c r="F19" s="143"/>
      <c r="G19" s="145"/>
      <c r="H19" s="143"/>
      <c r="I19" s="152"/>
      <c r="J19" s="175"/>
      <c r="L19" s="180" t="s">
        <v>141</v>
      </c>
      <c r="M19" s="180"/>
      <c r="N19" s="292">
        <v>1.5</v>
      </c>
      <c r="O19" s="210"/>
      <c r="P19" s="177"/>
      <c r="Q19" s="168"/>
      <c r="S19" s="152"/>
      <c r="T19" s="180"/>
      <c r="U19" s="175"/>
      <c r="V19" s="138"/>
      <c r="W19" s="138"/>
      <c r="X19" s="138"/>
      <c r="Y19" s="138"/>
      <c r="Z19" s="138"/>
      <c r="AA19" s="145"/>
    </row>
    <row r="20" spans="1:27 16384:16384" x14ac:dyDescent="0.2">
      <c r="A20" s="143"/>
      <c r="B20" s="143"/>
      <c r="C20" s="143"/>
      <c r="D20" s="154"/>
      <c r="F20" s="143"/>
      <c r="G20" s="145"/>
      <c r="H20" s="143"/>
      <c r="I20" s="152"/>
      <c r="J20" s="175"/>
      <c r="L20" s="180"/>
      <c r="M20" s="180"/>
      <c r="N20" s="196"/>
      <c r="O20" s="210"/>
      <c r="P20" s="177"/>
      <c r="Q20" s="168"/>
      <c r="S20" s="152"/>
      <c r="T20" s="175"/>
      <c r="U20" s="175"/>
      <c r="V20" s="138"/>
      <c r="W20" s="138"/>
      <c r="X20" s="138"/>
      <c r="Y20" s="138"/>
      <c r="Z20" s="138"/>
      <c r="AA20" s="145"/>
    </row>
    <row r="21" spans="1:27 16384:16384" ht="15" customHeight="1" x14ac:dyDescent="0.2">
      <c r="A21" s="143"/>
      <c r="B21" s="143"/>
      <c r="C21" s="143"/>
      <c r="D21" s="154"/>
      <c r="F21" s="143"/>
      <c r="G21" s="145"/>
      <c r="H21" s="143"/>
      <c r="I21" s="152"/>
      <c r="J21" s="175"/>
      <c r="L21" s="175"/>
      <c r="M21" s="180"/>
      <c r="N21" s="196"/>
      <c r="O21" s="196"/>
      <c r="P21" s="177"/>
      <c r="Q21" s="168"/>
      <c r="S21" s="152"/>
      <c r="T21" s="180" t="s">
        <v>144</v>
      </c>
      <c r="U21" s="175"/>
      <c r="V21" s="287" t="s">
        <v>165</v>
      </c>
      <c r="W21" s="274" t="s">
        <v>166</v>
      </c>
      <c r="X21" s="274" t="s">
        <v>169</v>
      </c>
      <c r="Y21" s="274" t="s">
        <v>167</v>
      </c>
      <c r="Z21" s="212" t="s">
        <v>176</v>
      </c>
      <c r="AA21" s="145"/>
    </row>
    <row r="22" spans="1:27 16384:16384" x14ac:dyDescent="0.2">
      <c r="A22" s="149" t="s">
        <v>5</v>
      </c>
      <c r="B22" s="149" t="s">
        <v>6</v>
      </c>
      <c r="C22" s="149" t="s">
        <v>7</v>
      </c>
      <c r="D22" s="156" t="s">
        <v>8</v>
      </c>
      <c r="E22" s="139" t="s">
        <v>146</v>
      </c>
      <c r="F22" s="149" t="s">
        <v>9</v>
      </c>
      <c r="G22" s="151" t="s">
        <v>10</v>
      </c>
      <c r="H22" s="143"/>
      <c r="I22" s="152"/>
      <c r="J22" s="175"/>
      <c r="L22" s="180" t="s">
        <v>144</v>
      </c>
      <c r="M22" s="175"/>
      <c r="N22" s="175"/>
      <c r="O22" s="175"/>
      <c r="P22" s="198"/>
      <c r="Q22" s="168"/>
      <c r="S22" s="152"/>
      <c r="U22" s="175"/>
      <c r="V22" s="287"/>
      <c r="W22" s="274"/>
      <c r="X22" s="274"/>
      <c r="Y22" s="274"/>
      <c r="Z22" s="212"/>
      <c r="AA22" s="145"/>
    </row>
    <row r="23" spans="1:27 16384:16384" x14ac:dyDescent="0.2">
      <c r="A23" s="143"/>
      <c r="B23" s="143"/>
      <c r="C23" s="143"/>
      <c r="D23" s="157"/>
      <c r="F23" s="143"/>
      <c r="G23" s="145"/>
      <c r="H23" s="143"/>
      <c r="I23" s="158"/>
      <c r="J23" s="181"/>
      <c r="L23" s="181"/>
      <c r="M23" s="181"/>
      <c r="N23" s="181"/>
      <c r="O23" s="181"/>
      <c r="P23" s="175"/>
      <c r="Q23" s="162"/>
      <c r="S23" s="152"/>
      <c r="T23" s="181"/>
      <c r="U23" s="175"/>
      <c r="V23" s="175"/>
      <c r="W23" s="175"/>
      <c r="X23" s="175"/>
      <c r="Y23" s="175"/>
      <c r="Z23" s="175"/>
      <c r="AA23" s="145"/>
    </row>
    <row r="24" spans="1:27 16384:16384" x14ac:dyDescent="0.2">
      <c r="A24" s="143"/>
      <c r="B24" s="143"/>
      <c r="C24" s="143"/>
      <c r="D24" s="154"/>
      <c r="F24" s="143"/>
      <c r="G24" s="145"/>
      <c r="H24" s="143"/>
      <c r="I24" s="159"/>
      <c r="J24" s="182"/>
      <c r="L24" s="182"/>
      <c r="M24" s="182"/>
      <c r="N24" s="182"/>
      <c r="O24" s="182"/>
      <c r="P24" s="174"/>
      <c r="Q24" s="164"/>
      <c r="S24" s="152"/>
      <c r="T24" s="182"/>
      <c r="U24" s="175"/>
      <c r="V24" s="175"/>
      <c r="W24" s="9"/>
      <c r="X24" s="9"/>
      <c r="Y24" s="9"/>
      <c r="Z24" s="9"/>
      <c r="AA24" s="21"/>
    </row>
    <row r="25" spans="1:27 16384:16384" s="154" customFormat="1" ht="12.75" customHeight="1" x14ac:dyDescent="0.2">
      <c r="A25" s="140">
        <v>81</v>
      </c>
      <c r="B25" s="140" t="s">
        <v>17</v>
      </c>
      <c r="C25" s="140" t="s">
        <v>18</v>
      </c>
      <c r="D25" s="140" t="s">
        <v>19</v>
      </c>
      <c r="E25" s="154" t="s">
        <v>14</v>
      </c>
      <c r="F25" s="140" t="s">
        <v>3</v>
      </c>
      <c r="G25" s="160"/>
      <c r="H25" s="140"/>
      <c r="I25" s="161"/>
      <c r="J25" s="199"/>
      <c r="L25" s="199">
        <v>0.34301737331273086</v>
      </c>
      <c r="M25" s="199"/>
      <c r="N25" s="137" t="str">
        <f t="shared" ref="N25:N56" si="0">IF($L25&lt;=$N$16,"LOF",IF($L25&lt;=$N$17,"pLOF",IF($L25&lt;=$N$19,"N",IF($L25&gt;=$N$19,"GOF",""))))</f>
        <v>pLOF</v>
      </c>
      <c r="O25" s="137"/>
      <c r="P25" s="200"/>
      <c r="Q25" s="162"/>
      <c r="S25" s="166"/>
      <c r="T25" s="55">
        <v>0.68234385434975109</v>
      </c>
      <c r="U25" s="137" t="str">
        <f t="shared" ref="U25:U56" si="1">IF($T25&lt;=$N$16,"LOF",IF($T25&lt;=$N$17,"pLOF",IF($T25&lt;=$N$19,"N",IF($T25&gt;=$N$19,"GOF",""))))</f>
        <v>pLOF</v>
      </c>
      <c r="V25" s="206" t="str">
        <f t="shared" ref="V25:V56" si="2">IF(AND(L25&lt;$N$16,T25&lt;$W$16),"-D N-",IF(AND(L25&lt;$N$16,T25&lt;$W$17),"-p R-",IF(AND(L25&lt;$N$16,T25&gt;$W$17),"-f R-",IF(AND(L25&lt;$N$17,T25&gt;$W$17),"-f R-",IF(AND(L25&gt;$N$19,T25&lt;$N$19),"-f R-",IF(N25=U25,"none",""))))))</f>
        <v>none</v>
      </c>
      <c r="W25" s="127" t="str">
        <f t="shared" ref="W25:W27" si="3">+IF(V25="-D N-",D25," ")</f>
        <v xml:space="preserve"> </v>
      </c>
      <c r="X25" s="207" t="str">
        <f t="shared" ref="X25:X27" si="4">+IF(V25="-p R-",D25," ")</f>
        <v xml:space="preserve"> </v>
      </c>
      <c r="Y25" s="208" t="str">
        <f t="shared" ref="Y25:Y39" si="5">+IF(V25="-f R-",D25," ")</f>
        <v xml:space="preserve"> </v>
      </c>
      <c r="Z25" s="213" t="str">
        <f>+IF(V25="none",D25," ")</f>
        <v>L81P</v>
      </c>
      <c r="AA25" s="217"/>
    </row>
    <row r="26" spans="1:27 16384:16384" s="154" customFormat="1" x14ac:dyDescent="0.2">
      <c r="A26" s="140">
        <v>104</v>
      </c>
      <c r="B26" s="140" t="s">
        <v>22</v>
      </c>
      <c r="C26" s="140" t="s">
        <v>17</v>
      </c>
      <c r="D26" s="140" t="s">
        <v>23</v>
      </c>
      <c r="E26" s="154" t="s">
        <v>21</v>
      </c>
      <c r="F26" s="140" t="s">
        <v>1</v>
      </c>
      <c r="G26" s="160"/>
      <c r="H26" s="140"/>
      <c r="I26" s="161"/>
      <c r="J26" s="199"/>
      <c r="L26" s="199">
        <v>0.88392848062183305</v>
      </c>
      <c r="M26" s="199"/>
      <c r="N26" s="137" t="str">
        <f t="shared" si="0"/>
        <v>N</v>
      </c>
      <c r="O26" s="137"/>
      <c r="P26" s="200"/>
      <c r="Q26" s="162"/>
      <c r="S26" s="166"/>
      <c r="T26" s="55">
        <v>0.83206557011278237</v>
      </c>
      <c r="U26" s="137" t="str">
        <f t="shared" si="1"/>
        <v>N</v>
      </c>
      <c r="V26" s="206" t="str">
        <f t="shared" si="2"/>
        <v>none</v>
      </c>
      <c r="W26" s="127" t="str">
        <f t="shared" si="3"/>
        <v xml:space="preserve"> </v>
      </c>
      <c r="X26" s="207" t="str">
        <f t="shared" si="4"/>
        <v xml:space="preserve"> </v>
      </c>
      <c r="Y26" s="208" t="str">
        <f t="shared" si="5"/>
        <v xml:space="preserve"> </v>
      </c>
      <c r="Z26" s="213" t="str">
        <f t="shared" ref="Z26:Z89" si="6">+IF(V26="none",D26," ")</f>
        <v>F104L</v>
      </c>
      <c r="AA26" s="217"/>
      <c r="XFD26" s="213"/>
    </row>
    <row r="27" spans="1:27 16384:16384" s="154" customFormat="1" x14ac:dyDescent="0.2">
      <c r="A27" s="140">
        <v>113</v>
      </c>
      <c r="B27" s="140" t="s">
        <v>25</v>
      </c>
      <c r="C27" s="140" t="s">
        <v>22</v>
      </c>
      <c r="D27" s="140" t="s">
        <v>26</v>
      </c>
      <c r="E27" s="154" t="s">
        <v>147</v>
      </c>
      <c r="F27" s="140" t="s">
        <v>133</v>
      </c>
      <c r="G27" s="160"/>
      <c r="H27" s="140"/>
      <c r="I27" s="161"/>
      <c r="J27" s="199"/>
      <c r="L27" s="199">
        <v>0.67914941704118881</v>
      </c>
      <c r="M27" s="199"/>
      <c r="N27" s="137" t="str">
        <f t="shared" si="0"/>
        <v>pLOF</v>
      </c>
      <c r="O27" s="137"/>
      <c r="P27" s="201"/>
      <c r="Q27" s="162"/>
      <c r="S27" s="166"/>
      <c r="T27" s="55">
        <v>0.88640895183460833</v>
      </c>
      <c r="U27" s="137" t="str">
        <f t="shared" si="1"/>
        <v>N</v>
      </c>
      <c r="V27" s="206" t="str">
        <f t="shared" si="2"/>
        <v>-f R-</v>
      </c>
      <c r="W27" s="127" t="str">
        <f t="shared" si="3"/>
        <v xml:space="preserve"> </v>
      </c>
      <c r="X27" s="207" t="str">
        <f t="shared" si="4"/>
        <v xml:space="preserve"> </v>
      </c>
      <c r="Y27" s="208" t="str">
        <f t="shared" si="5"/>
        <v>S113F</v>
      </c>
      <c r="Z27" s="213" t="str">
        <f t="shared" si="6"/>
        <v xml:space="preserve"> </v>
      </c>
      <c r="AA27" s="217"/>
    </row>
    <row r="28" spans="1:27 16384:16384" s="154" customFormat="1" x14ac:dyDescent="0.2">
      <c r="A28" s="142">
        <v>130</v>
      </c>
      <c r="B28" s="142" t="s">
        <v>29</v>
      </c>
      <c r="C28" s="142" t="s">
        <v>30</v>
      </c>
      <c r="D28" s="142" t="s">
        <v>31</v>
      </c>
      <c r="E28" s="154" t="s">
        <v>28</v>
      </c>
      <c r="F28" s="140" t="s">
        <v>133</v>
      </c>
      <c r="G28" s="165" t="s">
        <v>122</v>
      </c>
      <c r="H28" s="140"/>
      <c r="I28" s="161"/>
      <c r="J28" s="199"/>
      <c r="L28" s="199">
        <v>8.1169981486952245E-2</v>
      </c>
      <c r="M28" s="199"/>
      <c r="N28" s="137" t="str">
        <f t="shared" si="0"/>
        <v>LOF</v>
      </c>
      <c r="O28" s="137"/>
      <c r="P28" s="200"/>
      <c r="Q28" s="162"/>
      <c r="S28" s="166"/>
      <c r="T28" s="55">
        <v>0.42321906142024418</v>
      </c>
      <c r="U28" s="137" t="str">
        <f t="shared" si="1"/>
        <v>pLOF</v>
      </c>
      <c r="V28" s="206" t="str">
        <f t="shared" si="2"/>
        <v>-p R-</v>
      </c>
      <c r="W28" s="127" t="str">
        <f>+IF(V28="-D N-",D28," ")</f>
        <v xml:space="preserve"> </v>
      </c>
      <c r="X28" s="207" t="str">
        <f>+IF(V28="-p R-",D28," ")</f>
        <v>E130K</v>
      </c>
      <c r="Y28" s="208" t="str">
        <f t="shared" si="5"/>
        <v xml:space="preserve"> </v>
      </c>
      <c r="Z28" s="213" t="str">
        <f t="shared" si="6"/>
        <v xml:space="preserve"> </v>
      </c>
      <c r="AA28" s="217"/>
    </row>
    <row r="29" spans="1:27 16384:16384" s="154" customFormat="1" x14ac:dyDescent="0.2">
      <c r="A29" s="142">
        <v>144</v>
      </c>
      <c r="B29" s="142" t="s">
        <v>33</v>
      </c>
      <c r="C29" s="142" t="s">
        <v>34</v>
      </c>
      <c r="D29" s="142" t="s">
        <v>35</v>
      </c>
      <c r="E29" s="154" t="s">
        <v>148</v>
      </c>
      <c r="F29" s="140" t="s">
        <v>133</v>
      </c>
      <c r="G29" s="165" t="s">
        <v>122</v>
      </c>
      <c r="H29" s="140"/>
      <c r="I29" s="161"/>
      <c r="J29" s="199"/>
      <c r="L29" s="199">
        <v>0.53871842207722909</v>
      </c>
      <c r="M29" s="199"/>
      <c r="N29" s="137" t="str">
        <f t="shared" si="0"/>
        <v>pLOF</v>
      </c>
      <c r="O29" s="137"/>
      <c r="P29" s="200"/>
      <c r="Q29" s="162"/>
      <c r="S29" s="166"/>
      <c r="T29" s="55">
        <v>1.0132810227418543</v>
      </c>
      <c r="U29" s="137" t="str">
        <f t="shared" si="1"/>
        <v>N</v>
      </c>
      <c r="V29" s="206" t="str">
        <f t="shared" si="2"/>
        <v>-f R-</v>
      </c>
      <c r="W29" s="127" t="str">
        <f t="shared" ref="W29:W92" si="7">+IF(V29="-D N-",D29," ")</f>
        <v xml:space="preserve"> </v>
      </c>
      <c r="X29" s="207" t="str">
        <f t="shared" ref="X29:X92" si="8">+IF(V29="-p R-",D29," ")</f>
        <v xml:space="preserve"> </v>
      </c>
      <c r="Y29" s="208" t="str">
        <f t="shared" si="5"/>
        <v>R144Q</v>
      </c>
      <c r="Z29" s="213" t="str">
        <f t="shared" si="6"/>
        <v xml:space="preserve"> </v>
      </c>
      <c r="AA29" s="217"/>
    </row>
    <row r="30" spans="1:27 16384:16384" s="154" customFormat="1" x14ac:dyDescent="0.2">
      <c r="A30" s="140">
        <v>144</v>
      </c>
      <c r="B30" s="140" t="s">
        <v>33</v>
      </c>
      <c r="C30" s="140" t="s">
        <v>36</v>
      </c>
      <c r="D30" s="140" t="s">
        <v>37</v>
      </c>
      <c r="E30" s="154" t="s">
        <v>148</v>
      </c>
      <c r="F30" s="140" t="s">
        <v>133</v>
      </c>
      <c r="G30" s="160"/>
      <c r="H30" s="140"/>
      <c r="I30" s="161"/>
      <c r="J30" s="199"/>
      <c r="L30" s="199">
        <v>0.46467109397702144</v>
      </c>
      <c r="M30" s="199"/>
      <c r="N30" s="137" t="str">
        <f t="shared" si="0"/>
        <v>pLOF</v>
      </c>
      <c r="O30" s="137"/>
      <c r="P30" s="200"/>
      <c r="Q30" s="162"/>
      <c r="S30" s="166"/>
      <c r="T30" s="55">
        <v>0.93462019901595905</v>
      </c>
      <c r="U30" s="137" t="str">
        <f t="shared" si="1"/>
        <v>N</v>
      </c>
      <c r="V30" s="206" t="str">
        <f t="shared" si="2"/>
        <v>-f R-</v>
      </c>
      <c r="W30" s="127" t="str">
        <f t="shared" si="7"/>
        <v xml:space="preserve"> </v>
      </c>
      <c r="X30" s="207" t="str">
        <f t="shared" si="8"/>
        <v xml:space="preserve"> </v>
      </c>
      <c r="Y30" s="208" t="str">
        <f t="shared" si="5"/>
        <v>R144W</v>
      </c>
      <c r="Z30" s="213" t="str">
        <f t="shared" si="6"/>
        <v xml:space="preserve"> </v>
      </c>
      <c r="AA30" s="217"/>
    </row>
    <row r="31" spans="1:27 16384:16384" s="154" customFormat="1" x14ac:dyDescent="0.2">
      <c r="A31" s="140">
        <v>193</v>
      </c>
      <c r="B31" s="140" t="s">
        <v>15</v>
      </c>
      <c r="C31" s="140" t="s">
        <v>39</v>
      </c>
      <c r="D31" s="140" t="s">
        <v>40</v>
      </c>
      <c r="E31" s="154" t="s">
        <v>148</v>
      </c>
      <c r="F31" s="140" t="s">
        <v>133</v>
      </c>
      <c r="G31" s="160"/>
      <c r="H31" s="140"/>
      <c r="I31" s="161"/>
      <c r="J31" s="199"/>
      <c r="L31" s="55">
        <v>0.81982936800796447</v>
      </c>
      <c r="M31" s="55"/>
      <c r="N31" s="5" t="str">
        <f t="shared" si="0"/>
        <v>N</v>
      </c>
      <c r="O31" s="5"/>
      <c r="P31" s="56"/>
      <c r="Q31" s="113"/>
      <c r="R31" s="26"/>
      <c r="S31" s="214"/>
      <c r="T31" s="55">
        <v>0.37963217590333065</v>
      </c>
      <c r="U31" s="5" t="str">
        <f t="shared" si="1"/>
        <v>pLOF</v>
      </c>
      <c r="V31" s="228" t="str">
        <f t="shared" si="2"/>
        <v/>
      </c>
      <c r="W31" s="127" t="str">
        <f t="shared" si="7"/>
        <v xml:space="preserve"> </v>
      </c>
      <c r="X31" s="207" t="str">
        <f t="shared" si="8"/>
        <v xml:space="preserve"> </v>
      </c>
      <c r="Y31" s="208" t="str">
        <f t="shared" si="5"/>
        <v xml:space="preserve"> </v>
      </c>
      <c r="Z31" s="213" t="str">
        <f t="shared" si="6"/>
        <v xml:space="preserve"> </v>
      </c>
      <c r="AA31" s="217"/>
    </row>
    <row r="32" spans="1:27 16384:16384" s="154" customFormat="1" x14ac:dyDescent="0.2">
      <c r="A32" s="140">
        <v>196</v>
      </c>
      <c r="B32" s="140" t="s">
        <v>15</v>
      </c>
      <c r="C32" s="140" t="s">
        <v>16</v>
      </c>
      <c r="D32" s="140" t="s">
        <v>42</v>
      </c>
      <c r="E32" s="154" t="s">
        <v>41</v>
      </c>
      <c r="F32" s="140" t="s">
        <v>136</v>
      </c>
      <c r="G32" s="165" t="s">
        <v>122</v>
      </c>
      <c r="H32" s="140"/>
      <c r="I32" s="161"/>
      <c r="J32" s="199"/>
      <c r="L32" s="55">
        <v>0.8881967746364885</v>
      </c>
      <c r="M32" s="55"/>
      <c r="N32" s="5" t="str">
        <f t="shared" si="0"/>
        <v>N</v>
      </c>
      <c r="O32" s="5"/>
      <c r="P32" s="56"/>
      <c r="Q32" s="117"/>
      <c r="R32" s="26"/>
      <c r="S32" s="214"/>
      <c r="T32" s="55">
        <v>0.84842837021935291</v>
      </c>
      <c r="U32" s="5" t="str">
        <f t="shared" si="1"/>
        <v>N</v>
      </c>
      <c r="V32" s="228" t="str">
        <f t="shared" si="2"/>
        <v>none</v>
      </c>
      <c r="W32" s="127" t="str">
        <f t="shared" si="7"/>
        <v xml:space="preserve"> </v>
      </c>
      <c r="X32" s="207" t="str">
        <f t="shared" si="8"/>
        <v xml:space="preserve"> </v>
      </c>
      <c r="Y32" s="208" t="str">
        <f t="shared" si="5"/>
        <v xml:space="preserve"> </v>
      </c>
      <c r="Z32" s="213" t="str">
        <f t="shared" si="6"/>
        <v>A196V</v>
      </c>
      <c r="AA32" s="217"/>
    </row>
    <row r="33" spans="1:27" s="154" customFormat="1" x14ac:dyDescent="0.2">
      <c r="A33" s="140">
        <v>198</v>
      </c>
      <c r="B33" s="140" t="s">
        <v>33</v>
      </c>
      <c r="C33" s="140" t="s">
        <v>34</v>
      </c>
      <c r="D33" s="140" t="s">
        <v>43</v>
      </c>
      <c r="E33" s="154" t="s">
        <v>41</v>
      </c>
      <c r="F33" s="140" t="s">
        <v>133</v>
      </c>
      <c r="G33" s="165" t="s">
        <v>122</v>
      </c>
      <c r="H33" s="140"/>
      <c r="I33" s="161"/>
      <c r="J33" s="199"/>
      <c r="L33" s="199">
        <v>1.3820189312229434</v>
      </c>
      <c r="M33" s="199"/>
      <c r="N33" s="137" t="str">
        <f t="shared" si="0"/>
        <v>N</v>
      </c>
      <c r="O33" s="137"/>
      <c r="P33" s="201"/>
      <c r="Q33" s="162"/>
      <c r="S33" s="166"/>
      <c r="T33" s="55">
        <v>1.7565679272401638</v>
      </c>
      <c r="U33" s="137" t="str">
        <f t="shared" si="1"/>
        <v>GOF</v>
      </c>
      <c r="V33" s="206" t="str">
        <f t="shared" si="2"/>
        <v/>
      </c>
      <c r="W33" s="127" t="str">
        <f t="shared" si="7"/>
        <v xml:space="preserve"> </v>
      </c>
      <c r="X33" s="207" t="str">
        <f t="shared" si="8"/>
        <v xml:space="preserve"> </v>
      </c>
      <c r="Y33" s="208" t="str">
        <f t="shared" si="5"/>
        <v xml:space="preserve"> </v>
      </c>
      <c r="Z33" s="213" t="str">
        <f t="shared" si="6"/>
        <v xml:space="preserve"> </v>
      </c>
      <c r="AA33" s="217"/>
    </row>
    <row r="34" spans="1:27" s="154" customFormat="1" x14ac:dyDescent="0.2">
      <c r="A34" s="140">
        <v>201</v>
      </c>
      <c r="B34" s="140" t="s">
        <v>33</v>
      </c>
      <c r="C34" s="140" t="s">
        <v>44</v>
      </c>
      <c r="D34" s="140" t="s">
        <v>45</v>
      </c>
      <c r="E34" s="154" t="s">
        <v>41</v>
      </c>
      <c r="F34" s="140" t="s">
        <v>133</v>
      </c>
      <c r="G34" s="165" t="s">
        <v>122</v>
      </c>
      <c r="H34" s="140"/>
      <c r="I34" s="161"/>
      <c r="J34" s="199"/>
      <c r="L34" s="199">
        <v>1.6652063583887722</v>
      </c>
      <c r="M34" s="199"/>
      <c r="N34" s="137" t="str">
        <f t="shared" si="0"/>
        <v>GOF</v>
      </c>
      <c r="O34" s="137"/>
      <c r="P34" s="201"/>
      <c r="Q34" s="164"/>
      <c r="R34" s="143"/>
      <c r="S34" s="166"/>
      <c r="T34" s="55">
        <v>0.93826299930319179</v>
      </c>
      <c r="U34" s="137" t="str">
        <f t="shared" si="1"/>
        <v>N</v>
      </c>
      <c r="V34" s="206" t="str">
        <f t="shared" si="2"/>
        <v>-f R-</v>
      </c>
      <c r="W34" s="127" t="str">
        <f t="shared" si="7"/>
        <v xml:space="preserve"> </v>
      </c>
      <c r="X34" s="207" t="str">
        <f t="shared" si="8"/>
        <v xml:space="preserve"> </v>
      </c>
      <c r="Y34" s="208" t="str">
        <f t="shared" si="5"/>
        <v>R201C</v>
      </c>
      <c r="Z34" s="213" t="str">
        <f t="shared" si="6"/>
        <v xml:space="preserve"> </v>
      </c>
      <c r="AA34" s="217"/>
    </row>
    <row r="35" spans="1:27" s="154" customFormat="1" x14ac:dyDescent="0.2">
      <c r="A35" s="140">
        <v>201</v>
      </c>
      <c r="B35" s="140" t="s">
        <v>33</v>
      </c>
      <c r="C35" s="140" t="s">
        <v>44</v>
      </c>
      <c r="D35" s="140" t="s">
        <v>47</v>
      </c>
      <c r="E35" s="154" t="s">
        <v>41</v>
      </c>
      <c r="F35" s="140" t="s">
        <v>133</v>
      </c>
      <c r="G35" s="165" t="s">
        <v>122</v>
      </c>
      <c r="H35" s="140"/>
      <c r="I35" s="161"/>
      <c r="J35" s="199"/>
      <c r="L35" s="199">
        <v>1.7712458356898684</v>
      </c>
      <c r="M35" s="199"/>
      <c r="N35" s="137" t="str">
        <f t="shared" si="0"/>
        <v>GOF</v>
      </c>
      <c r="O35" s="137"/>
      <c r="P35" s="201"/>
      <c r="Q35" s="162"/>
      <c r="R35" s="143"/>
      <c r="S35" s="166"/>
      <c r="T35" s="55">
        <v>1.0388591411209491</v>
      </c>
      <c r="U35" s="137" t="str">
        <f t="shared" si="1"/>
        <v>N</v>
      </c>
      <c r="V35" s="206" t="str">
        <f t="shared" si="2"/>
        <v>-f R-</v>
      </c>
      <c r="W35" s="127" t="str">
        <f t="shared" si="7"/>
        <v xml:space="preserve"> </v>
      </c>
      <c r="X35" s="207" t="str">
        <f t="shared" si="8"/>
        <v xml:space="preserve"> </v>
      </c>
      <c r="Y35" s="208" t="str">
        <f t="shared" si="5"/>
        <v>R201H</v>
      </c>
      <c r="Z35" s="213" t="str">
        <f t="shared" si="6"/>
        <v xml:space="preserve"> </v>
      </c>
      <c r="AA35" s="217"/>
    </row>
    <row r="36" spans="1:27" s="154" customFormat="1" x14ac:dyDescent="0.2">
      <c r="A36" s="140">
        <v>203</v>
      </c>
      <c r="B36" s="140" t="s">
        <v>17</v>
      </c>
      <c r="C36" s="140" t="s">
        <v>18</v>
      </c>
      <c r="D36" s="140" t="s">
        <v>48</v>
      </c>
      <c r="E36" s="154" t="s">
        <v>41</v>
      </c>
      <c r="F36" s="140" t="s">
        <v>133</v>
      </c>
      <c r="G36" s="160"/>
      <c r="H36" s="140"/>
      <c r="I36" s="161"/>
      <c r="J36" s="199"/>
      <c r="L36" s="199">
        <v>0.34498845712552595</v>
      </c>
      <c r="M36" s="199"/>
      <c r="N36" s="137" t="str">
        <f t="shared" si="0"/>
        <v>pLOF</v>
      </c>
      <c r="O36" s="137"/>
      <c r="P36" s="201"/>
      <c r="Q36" s="164"/>
      <c r="R36" s="143"/>
      <c r="S36" s="166"/>
      <c r="T36" s="55">
        <v>0.94100106949814888</v>
      </c>
      <c r="U36" s="137" t="str">
        <f t="shared" si="1"/>
        <v>N</v>
      </c>
      <c r="V36" s="206" t="str">
        <f t="shared" si="2"/>
        <v>-f R-</v>
      </c>
      <c r="W36" s="127" t="str">
        <f t="shared" si="7"/>
        <v xml:space="preserve"> </v>
      </c>
      <c r="X36" s="207" t="str">
        <f t="shared" si="8"/>
        <v xml:space="preserve"> </v>
      </c>
      <c r="Y36" s="208" t="str">
        <f t="shared" si="5"/>
        <v>L203P</v>
      </c>
      <c r="Z36" s="213" t="str">
        <f t="shared" si="6"/>
        <v xml:space="preserve"> </v>
      </c>
      <c r="AA36" s="217"/>
    </row>
    <row r="37" spans="1:27" s="154" customFormat="1" x14ac:dyDescent="0.2">
      <c r="A37" s="140">
        <v>204</v>
      </c>
      <c r="B37" s="140" t="s">
        <v>34</v>
      </c>
      <c r="C37" s="140" t="s">
        <v>46</v>
      </c>
      <c r="D37" s="140" t="s">
        <v>49</v>
      </c>
      <c r="E37" s="154" t="s">
        <v>41</v>
      </c>
      <c r="F37" s="140" t="s">
        <v>3</v>
      </c>
      <c r="G37" s="160"/>
      <c r="H37" s="140"/>
      <c r="I37" s="161"/>
      <c r="J37" s="199"/>
      <c r="L37" s="199">
        <v>0.61488842191239734</v>
      </c>
      <c r="M37" s="199"/>
      <c r="N37" s="137" t="str">
        <f t="shared" si="0"/>
        <v>pLOF</v>
      </c>
      <c r="O37" s="137"/>
      <c r="P37" s="201"/>
      <c r="Q37" s="164"/>
      <c r="S37" s="166"/>
      <c r="T37" s="55">
        <v>1.2413815223626492</v>
      </c>
      <c r="U37" s="137" t="str">
        <f t="shared" si="1"/>
        <v>N</v>
      </c>
      <c r="V37" s="206" t="str">
        <f t="shared" si="2"/>
        <v>-f R-</v>
      </c>
      <c r="W37" s="127" t="str">
        <f t="shared" si="7"/>
        <v xml:space="preserve"> </v>
      </c>
      <c r="X37" s="207" t="str">
        <f t="shared" si="8"/>
        <v xml:space="preserve"> </v>
      </c>
      <c r="Y37" s="208" t="str">
        <f t="shared" si="5"/>
        <v>Q204H</v>
      </c>
      <c r="Z37" s="213" t="str">
        <f t="shared" si="6"/>
        <v xml:space="preserve"> </v>
      </c>
      <c r="AA37" s="217"/>
    </row>
    <row r="38" spans="1:27" s="154" customFormat="1" x14ac:dyDescent="0.2">
      <c r="A38" s="140">
        <v>207</v>
      </c>
      <c r="B38" s="140" t="s">
        <v>33</v>
      </c>
      <c r="C38" s="140" t="s">
        <v>34</v>
      </c>
      <c r="D38" s="140" t="s">
        <v>50</v>
      </c>
      <c r="E38" s="154" t="s">
        <v>41</v>
      </c>
      <c r="F38" s="140" t="s">
        <v>3</v>
      </c>
      <c r="G38" s="165" t="s">
        <v>122</v>
      </c>
      <c r="H38" s="140"/>
      <c r="I38" s="161"/>
      <c r="J38" s="199"/>
      <c r="L38" s="199">
        <v>0.82957894328857851</v>
      </c>
      <c r="M38" s="199"/>
      <c r="N38" s="137" t="str">
        <f t="shared" si="0"/>
        <v>N</v>
      </c>
      <c r="O38" s="137"/>
      <c r="P38" s="201"/>
      <c r="Q38" s="164"/>
      <c r="S38" s="166"/>
      <c r="T38" s="55">
        <v>1.0427280630758655</v>
      </c>
      <c r="U38" s="137" t="str">
        <f t="shared" si="1"/>
        <v>N</v>
      </c>
      <c r="V38" s="206" t="str">
        <f t="shared" si="2"/>
        <v>none</v>
      </c>
      <c r="W38" s="127" t="str">
        <f t="shared" si="7"/>
        <v xml:space="preserve"> </v>
      </c>
      <c r="X38" s="207" t="str">
        <f t="shared" si="8"/>
        <v xml:space="preserve"> </v>
      </c>
      <c r="Y38" s="208" t="str">
        <f t="shared" si="5"/>
        <v xml:space="preserve"> </v>
      </c>
      <c r="Z38" s="213" t="str">
        <f t="shared" si="6"/>
        <v>R207Q</v>
      </c>
      <c r="AA38" s="217"/>
    </row>
    <row r="39" spans="1:27" x14ac:dyDescent="0.2">
      <c r="A39" s="140">
        <v>207</v>
      </c>
      <c r="B39" s="140" t="s">
        <v>33</v>
      </c>
      <c r="C39" s="140" t="s">
        <v>36</v>
      </c>
      <c r="D39" s="140" t="s">
        <v>51</v>
      </c>
      <c r="E39" s="154" t="s">
        <v>41</v>
      </c>
      <c r="F39" s="140" t="s">
        <v>3</v>
      </c>
      <c r="G39" s="165" t="s">
        <v>122</v>
      </c>
      <c r="H39" s="140"/>
      <c r="I39" s="161"/>
      <c r="J39" s="199"/>
      <c r="L39" s="199">
        <v>0.6032628934877633</v>
      </c>
      <c r="M39" s="199"/>
      <c r="N39" s="137" t="str">
        <f t="shared" si="0"/>
        <v>pLOF</v>
      </c>
      <c r="O39" s="137"/>
      <c r="P39" s="201"/>
      <c r="Q39" s="162"/>
      <c r="S39" s="152"/>
      <c r="T39" s="55">
        <v>0.88495729015150504</v>
      </c>
      <c r="U39" s="137" t="str">
        <f t="shared" si="1"/>
        <v>N</v>
      </c>
      <c r="V39" s="206" t="str">
        <f t="shared" si="2"/>
        <v>-f R-</v>
      </c>
      <c r="W39" s="127" t="str">
        <f t="shared" si="7"/>
        <v xml:space="preserve"> </v>
      </c>
      <c r="X39" s="207" t="str">
        <f t="shared" si="8"/>
        <v xml:space="preserve"> </v>
      </c>
      <c r="Y39" s="208" t="str">
        <f t="shared" si="5"/>
        <v>R207W</v>
      </c>
      <c r="Z39" s="213" t="str">
        <f t="shared" si="6"/>
        <v xml:space="preserve"> </v>
      </c>
      <c r="AA39" s="217"/>
    </row>
    <row r="40" spans="1:27" s="154" customFormat="1" x14ac:dyDescent="0.2">
      <c r="A40" s="140">
        <v>210</v>
      </c>
      <c r="B40" s="140" t="s">
        <v>33</v>
      </c>
      <c r="C40" s="140" t="s">
        <v>46</v>
      </c>
      <c r="D40" s="140" t="s">
        <v>52</v>
      </c>
      <c r="E40" s="154" t="s">
        <v>41</v>
      </c>
      <c r="F40" s="140" t="s">
        <v>133</v>
      </c>
      <c r="G40" s="160"/>
      <c r="H40" s="140"/>
      <c r="I40" s="161"/>
      <c r="J40" s="199"/>
      <c r="L40" s="55">
        <v>0.21378114814361385</v>
      </c>
      <c r="M40" s="55"/>
      <c r="N40" s="5" t="str">
        <f t="shared" si="0"/>
        <v>LOF</v>
      </c>
      <c r="O40" s="5"/>
      <c r="P40" s="56"/>
      <c r="Q40" s="113"/>
      <c r="R40" s="26"/>
      <c r="S40" s="214"/>
      <c r="T40" s="55">
        <v>0.66511562408631153</v>
      </c>
      <c r="U40" s="137" t="str">
        <f t="shared" si="1"/>
        <v>pLOF</v>
      </c>
      <c r="V40" s="206" t="str">
        <f t="shared" si="2"/>
        <v>-p R-</v>
      </c>
      <c r="W40" s="127" t="str">
        <f t="shared" si="7"/>
        <v xml:space="preserve"> </v>
      </c>
      <c r="X40" s="207" t="str">
        <f t="shared" si="8"/>
        <v>R210H</v>
      </c>
      <c r="Y40" s="208" t="str">
        <f>+IF(V40="-f R-",D40," ")</f>
        <v xml:space="preserve"> </v>
      </c>
      <c r="Z40" s="213" t="str">
        <f t="shared" si="6"/>
        <v xml:space="preserve"> </v>
      </c>
      <c r="AA40" s="217"/>
    </row>
    <row r="41" spans="1:27" s="154" customFormat="1" x14ac:dyDescent="0.2">
      <c r="A41" s="140">
        <v>212</v>
      </c>
      <c r="B41" s="140" t="s">
        <v>39</v>
      </c>
      <c r="C41" s="140" t="s">
        <v>53</v>
      </c>
      <c r="D41" s="140" t="s">
        <v>54</v>
      </c>
      <c r="E41" s="154" t="s">
        <v>41</v>
      </c>
      <c r="F41" s="140" t="s">
        <v>3</v>
      </c>
      <c r="G41" s="160"/>
      <c r="H41" s="140"/>
      <c r="I41" s="161"/>
      <c r="J41" s="199"/>
      <c r="L41" s="55">
        <v>0.44488243235481006</v>
      </c>
      <c r="M41" s="55"/>
      <c r="N41" s="5" t="str">
        <f t="shared" si="0"/>
        <v>pLOF</v>
      </c>
      <c r="O41" s="5"/>
      <c r="P41" s="56"/>
      <c r="Q41" s="117"/>
      <c r="R41" s="26"/>
      <c r="S41" s="214"/>
      <c r="T41" s="55">
        <v>0.73560407600609901</v>
      </c>
      <c r="U41" s="137" t="str">
        <f t="shared" si="1"/>
        <v>pLOF</v>
      </c>
      <c r="V41" s="206" t="str">
        <f t="shared" si="2"/>
        <v>none</v>
      </c>
      <c r="W41" s="127" t="str">
        <f t="shared" si="7"/>
        <v xml:space="preserve"> </v>
      </c>
      <c r="X41" s="207" t="str">
        <f t="shared" si="8"/>
        <v xml:space="preserve"> </v>
      </c>
      <c r="Y41" s="208" t="str">
        <f t="shared" ref="Y41:Y96" si="9">+IF(V41="-f R-",D41," ")</f>
        <v xml:space="preserve"> </v>
      </c>
      <c r="Z41" s="213" t="str">
        <f t="shared" si="6"/>
        <v>D212G</v>
      </c>
      <c r="AA41" s="217"/>
    </row>
    <row r="42" spans="1:27" x14ac:dyDescent="0.2">
      <c r="A42" s="140">
        <v>212</v>
      </c>
      <c r="B42" s="140" t="s">
        <v>39</v>
      </c>
      <c r="C42" s="140" t="s">
        <v>55</v>
      </c>
      <c r="D42" s="140" t="s">
        <v>56</v>
      </c>
      <c r="E42" s="154" t="s">
        <v>41</v>
      </c>
      <c r="F42" s="140" t="s">
        <v>133</v>
      </c>
      <c r="G42" s="160"/>
      <c r="H42" s="140"/>
      <c r="I42" s="161"/>
      <c r="J42" s="199"/>
      <c r="L42" s="55">
        <v>0.22407410097817956</v>
      </c>
      <c r="M42" s="55"/>
      <c r="N42" s="5" t="str">
        <f t="shared" si="0"/>
        <v>LOF</v>
      </c>
      <c r="O42" s="5"/>
      <c r="P42" s="56"/>
      <c r="Q42" s="117"/>
      <c r="R42" s="26"/>
      <c r="S42" s="93"/>
      <c r="T42" s="55">
        <v>0.49163484703065174</v>
      </c>
      <c r="U42" s="137" t="str">
        <f t="shared" si="1"/>
        <v>pLOF</v>
      </c>
      <c r="V42" s="206" t="str">
        <f t="shared" si="2"/>
        <v>-p R-</v>
      </c>
      <c r="W42" s="127" t="str">
        <f t="shared" si="7"/>
        <v xml:space="preserve"> </v>
      </c>
      <c r="X42" s="207" t="str">
        <f t="shared" si="8"/>
        <v>D212Y</v>
      </c>
      <c r="Y42" s="208" t="str">
        <f t="shared" si="9"/>
        <v xml:space="preserve"> </v>
      </c>
      <c r="Z42" s="213" t="str">
        <f t="shared" si="6"/>
        <v xml:space="preserve"> </v>
      </c>
      <c r="AA42" s="217"/>
    </row>
    <row r="43" spans="1:27" s="154" customFormat="1" x14ac:dyDescent="0.2">
      <c r="A43" s="140">
        <v>214</v>
      </c>
      <c r="B43" s="140" t="s">
        <v>33</v>
      </c>
      <c r="C43" s="140" t="s">
        <v>36</v>
      </c>
      <c r="D43" s="140" t="s">
        <v>57</v>
      </c>
      <c r="E43" s="154" t="s">
        <v>41</v>
      </c>
      <c r="F43" s="140" t="s">
        <v>3</v>
      </c>
      <c r="G43" s="165" t="s">
        <v>122</v>
      </c>
      <c r="H43" s="140"/>
      <c r="I43" s="161"/>
      <c r="J43" s="199"/>
      <c r="L43" s="55">
        <v>0.76770727048743315</v>
      </c>
      <c r="M43" s="55"/>
      <c r="N43" s="5" t="str">
        <f t="shared" si="0"/>
        <v>N</v>
      </c>
      <c r="O43" s="5"/>
      <c r="P43" s="56"/>
      <c r="Q43" s="117"/>
      <c r="R43" s="26"/>
      <c r="S43" s="214"/>
      <c r="T43" s="55">
        <v>0.62752758828338073</v>
      </c>
      <c r="U43" s="137" t="str">
        <f t="shared" si="1"/>
        <v>pLOF</v>
      </c>
      <c r="V43" s="206" t="str">
        <f t="shared" si="2"/>
        <v/>
      </c>
      <c r="W43" s="127" t="str">
        <f t="shared" si="7"/>
        <v xml:space="preserve"> </v>
      </c>
      <c r="X43" s="207" t="str">
        <f t="shared" si="8"/>
        <v xml:space="preserve"> </v>
      </c>
      <c r="Y43" s="208" t="str">
        <f t="shared" si="9"/>
        <v xml:space="preserve"> </v>
      </c>
      <c r="Z43" s="213" t="str">
        <f t="shared" si="6"/>
        <v xml:space="preserve"> </v>
      </c>
      <c r="AA43" s="217"/>
    </row>
    <row r="44" spans="1:27" s="154" customFormat="1" x14ac:dyDescent="0.2">
      <c r="A44" s="140">
        <v>228</v>
      </c>
      <c r="B44" s="140" t="s">
        <v>46</v>
      </c>
      <c r="C44" s="140" t="s">
        <v>34</v>
      </c>
      <c r="D44" s="140" t="s">
        <v>60</v>
      </c>
      <c r="E44" s="154" t="s">
        <v>149</v>
      </c>
      <c r="F44" s="140" t="s">
        <v>3</v>
      </c>
      <c r="G44" s="160"/>
      <c r="H44" s="140"/>
      <c r="I44" s="161"/>
      <c r="J44" s="199"/>
      <c r="L44" s="55">
        <v>0.13953657459262642</v>
      </c>
      <c r="M44" s="55"/>
      <c r="N44" s="5" t="str">
        <f t="shared" si="0"/>
        <v>LOF</v>
      </c>
      <c r="O44" s="5"/>
      <c r="P44" s="56"/>
      <c r="Q44" s="117"/>
      <c r="R44" s="26"/>
      <c r="S44" s="214"/>
      <c r="T44" s="55">
        <v>0.96465539996228344</v>
      </c>
      <c r="U44" s="137" t="str">
        <f t="shared" si="1"/>
        <v>N</v>
      </c>
      <c r="V44" s="206" t="str">
        <f t="shared" si="2"/>
        <v>-f R-</v>
      </c>
      <c r="W44" s="127" t="str">
        <f t="shared" si="7"/>
        <v xml:space="preserve"> </v>
      </c>
      <c r="X44" s="207" t="str">
        <f t="shared" si="8"/>
        <v xml:space="preserve"> </v>
      </c>
      <c r="Y44" s="208" t="str">
        <f t="shared" si="9"/>
        <v>H228Q</v>
      </c>
      <c r="Z44" s="213" t="str">
        <f t="shared" si="6"/>
        <v xml:space="preserve"> </v>
      </c>
      <c r="AA44" s="217"/>
    </row>
    <row r="45" spans="1:27" x14ac:dyDescent="0.2">
      <c r="A45" s="140">
        <v>228</v>
      </c>
      <c r="B45" s="140" t="s">
        <v>46</v>
      </c>
      <c r="C45" s="140" t="s">
        <v>33</v>
      </c>
      <c r="D45" s="140" t="s">
        <v>59</v>
      </c>
      <c r="E45" s="154" t="s">
        <v>149</v>
      </c>
      <c r="F45" s="140" t="s">
        <v>133</v>
      </c>
      <c r="G45" s="160"/>
      <c r="H45" s="140"/>
      <c r="I45" s="161"/>
      <c r="J45" s="199"/>
      <c r="L45" s="55">
        <v>6.6360508223857223E-2</v>
      </c>
      <c r="M45" s="55"/>
      <c r="N45" s="5" t="str">
        <f t="shared" si="0"/>
        <v>LOF</v>
      </c>
      <c r="O45" s="5"/>
      <c r="P45" s="56"/>
      <c r="Q45" s="117"/>
      <c r="R45" s="26"/>
      <c r="S45" s="93"/>
      <c r="T45" s="55">
        <v>0.32193771060642534</v>
      </c>
      <c r="U45" s="137" t="str">
        <f t="shared" si="1"/>
        <v>pLOF</v>
      </c>
      <c r="V45" s="206" t="str">
        <f t="shared" si="2"/>
        <v>-p R-</v>
      </c>
      <c r="W45" s="127" t="str">
        <f t="shared" si="7"/>
        <v xml:space="preserve"> </v>
      </c>
      <c r="X45" s="207" t="str">
        <f t="shared" si="8"/>
        <v>H228R</v>
      </c>
      <c r="Y45" s="208" t="str">
        <f t="shared" si="9"/>
        <v xml:space="preserve"> </v>
      </c>
      <c r="Z45" s="213" t="str">
        <f t="shared" si="6"/>
        <v xml:space="preserve"> </v>
      </c>
      <c r="AA45" s="217"/>
    </row>
    <row r="46" spans="1:27" x14ac:dyDescent="0.2">
      <c r="A46" s="140">
        <v>228</v>
      </c>
      <c r="B46" s="140" t="s">
        <v>46</v>
      </c>
      <c r="C46" s="140" t="s">
        <v>55</v>
      </c>
      <c r="D46" s="140" t="s">
        <v>61</v>
      </c>
      <c r="E46" s="154" t="s">
        <v>149</v>
      </c>
      <c r="F46" s="140" t="s">
        <v>133</v>
      </c>
      <c r="G46" s="160"/>
      <c r="H46" s="140"/>
      <c r="I46" s="161"/>
      <c r="J46" s="199"/>
      <c r="L46" s="55">
        <v>0.4106209077138932</v>
      </c>
      <c r="M46" s="55"/>
      <c r="N46" s="5" t="str">
        <f t="shared" si="0"/>
        <v>pLOF</v>
      </c>
      <c r="O46" s="5"/>
      <c r="P46" s="56"/>
      <c r="Q46" s="117"/>
      <c r="R46" s="26"/>
      <c r="S46" s="93"/>
      <c r="T46" s="55">
        <v>0.5967664063401269</v>
      </c>
      <c r="U46" s="137" t="str">
        <f t="shared" si="1"/>
        <v>pLOF</v>
      </c>
      <c r="V46" s="206" t="str">
        <f t="shared" si="2"/>
        <v>none</v>
      </c>
      <c r="W46" s="127" t="str">
        <f t="shared" si="7"/>
        <v xml:space="preserve"> </v>
      </c>
      <c r="X46" s="207" t="str">
        <f t="shared" si="8"/>
        <v xml:space="preserve"> </v>
      </c>
      <c r="Y46" s="208" t="str">
        <f t="shared" si="9"/>
        <v xml:space="preserve"> </v>
      </c>
      <c r="Z46" s="213" t="str">
        <f t="shared" si="6"/>
        <v>H228Y</v>
      </c>
      <c r="AA46" s="217"/>
    </row>
    <row r="47" spans="1:27" s="154" customFormat="1" x14ac:dyDescent="0.2">
      <c r="A47" s="140">
        <v>238</v>
      </c>
      <c r="B47" s="140" t="s">
        <v>27</v>
      </c>
      <c r="C47" s="140" t="s">
        <v>16</v>
      </c>
      <c r="D47" s="140" t="s">
        <v>63</v>
      </c>
      <c r="E47" s="154" t="s">
        <v>62</v>
      </c>
      <c r="F47" s="140" t="s">
        <v>1</v>
      </c>
      <c r="G47" s="160"/>
      <c r="H47" s="140"/>
      <c r="I47" s="161"/>
      <c r="J47" s="199"/>
      <c r="L47" s="55">
        <v>0.57140839936709509</v>
      </c>
      <c r="M47" s="55"/>
      <c r="N47" s="5" t="str">
        <f t="shared" si="0"/>
        <v>pLOF</v>
      </c>
      <c r="O47" s="5"/>
      <c r="P47" s="56"/>
      <c r="Q47" s="117"/>
      <c r="R47" s="26"/>
      <c r="S47" s="214"/>
      <c r="T47" s="55">
        <v>0.64034426233042352</v>
      </c>
      <c r="U47" s="137" t="str">
        <f t="shared" si="1"/>
        <v>pLOF</v>
      </c>
      <c r="V47" s="206" t="str">
        <f t="shared" si="2"/>
        <v>none</v>
      </c>
      <c r="W47" s="127" t="str">
        <f t="shared" si="7"/>
        <v xml:space="preserve"> </v>
      </c>
      <c r="X47" s="207" t="str">
        <f t="shared" si="8"/>
        <v xml:space="preserve"> </v>
      </c>
      <c r="Y47" s="208" t="str">
        <f t="shared" si="9"/>
        <v xml:space="preserve"> </v>
      </c>
      <c r="Z47" s="213" t="str">
        <f t="shared" si="6"/>
        <v>I238V</v>
      </c>
      <c r="AA47" s="217"/>
    </row>
    <row r="48" spans="1:27" s="154" customFormat="1" x14ac:dyDescent="0.2">
      <c r="A48" s="140">
        <v>243</v>
      </c>
      <c r="B48" s="140" t="s">
        <v>17</v>
      </c>
      <c r="C48" s="140" t="s">
        <v>22</v>
      </c>
      <c r="D48" s="140" t="s">
        <v>64</v>
      </c>
      <c r="E48" s="154" t="s">
        <v>62</v>
      </c>
      <c r="F48" s="140" t="s">
        <v>3</v>
      </c>
      <c r="G48" s="165" t="s">
        <v>122</v>
      </c>
      <c r="H48" s="140"/>
      <c r="I48" s="161"/>
      <c r="J48" s="199"/>
      <c r="L48" s="55">
        <v>0.10582828142430041</v>
      </c>
      <c r="M48" s="55"/>
      <c r="N48" s="5" t="str">
        <f t="shared" si="0"/>
        <v>LOF</v>
      </c>
      <c r="O48" s="5"/>
      <c r="P48" s="56"/>
      <c r="Q48" s="117"/>
      <c r="R48" s="26"/>
      <c r="S48" s="214"/>
      <c r="T48" s="55">
        <v>0.57915590637768521</v>
      </c>
      <c r="U48" s="137" t="str">
        <f t="shared" si="1"/>
        <v>pLOF</v>
      </c>
      <c r="V48" s="206" t="str">
        <f t="shared" si="2"/>
        <v>-p R-</v>
      </c>
      <c r="W48" s="127" t="str">
        <f t="shared" si="7"/>
        <v xml:space="preserve"> </v>
      </c>
      <c r="X48" s="207" t="str">
        <f t="shared" si="8"/>
        <v>L243F</v>
      </c>
      <c r="Y48" s="208" t="str">
        <f t="shared" si="9"/>
        <v xml:space="preserve"> </v>
      </c>
      <c r="Z48" s="213" t="str">
        <f t="shared" si="6"/>
        <v xml:space="preserve"> </v>
      </c>
      <c r="AA48" s="217"/>
    </row>
    <row r="49" spans="1:27" s="154" customFormat="1" x14ac:dyDescent="0.2">
      <c r="A49" s="140">
        <v>274</v>
      </c>
      <c r="B49" s="140" t="s">
        <v>66</v>
      </c>
      <c r="C49" s="140" t="s">
        <v>67</v>
      </c>
      <c r="D49" s="140" t="s">
        <v>68</v>
      </c>
      <c r="E49" s="154" t="s">
        <v>65</v>
      </c>
      <c r="F49" s="140" t="s">
        <v>133</v>
      </c>
      <c r="G49" s="165" t="s">
        <v>122</v>
      </c>
      <c r="H49" s="140"/>
      <c r="I49" s="161"/>
      <c r="J49" s="199"/>
      <c r="L49" s="55">
        <v>8.9631716695940084E-2</v>
      </c>
      <c r="M49" s="55"/>
      <c r="N49" s="5" t="str">
        <f t="shared" si="0"/>
        <v>LOF</v>
      </c>
      <c r="O49" s="5"/>
      <c r="P49" s="56"/>
      <c r="Q49" s="113"/>
      <c r="R49" s="26"/>
      <c r="S49" s="214"/>
      <c r="T49" s="55">
        <v>0.5157176863516636</v>
      </c>
      <c r="U49" s="137" t="str">
        <f t="shared" si="1"/>
        <v>pLOF</v>
      </c>
      <c r="V49" s="206" t="str">
        <f t="shared" si="2"/>
        <v>-p R-</v>
      </c>
      <c r="W49" s="127" t="str">
        <f t="shared" si="7"/>
        <v xml:space="preserve"> </v>
      </c>
      <c r="X49" s="207" t="str">
        <f t="shared" si="8"/>
        <v>T274M</v>
      </c>
      <c r="Y49" s="208" t="str">
        <f t="shared" si="9"/>
        <v xml:space="preserve"> </v>
      </c>
      <c r="Z49" s="213" t="str">
        <f t="shared" si="6"/>
        <v xml:space="preserve"> </v>
      </c>
      <c r="AA49" s="217"/>
    </row>
    <row r="50" spans="1:27" s="154" customFormat="1" x14ac:dyDescent="0.2">
      <c r="A50" s="140">
        <v>276</v>
      </c>
      <c r="B50" s="140" t="s">
        <v>66</v>
      </c>
      <c r="C50" s="140" t="s">
        <v>27</v>
      </c>
      <c r="D50" s="140" t="s">
        <v>69</v>
      </c>
      <c r="E50" s="154" t="s">
        <v>65</v>
      </c>
      <c r="F50" s="140" t="s">
        <v>133</v>
      </c>
      <c r="G50" s="160"/>
      <c r="H50" s="140"/>
      <c r="I50" s="161"/>
      <c r="J50" s="199"/>
      <c r="L50" s="55">
        <v>5.7934328382980432E-2</v>
      </c>
      <c r="M50" s="55"/>
      <c r="N50" s="5" t="str">
        <f t="shared" si="0"/>
        <v>LOF</v>
      </c>
      <c r="O50" s="5"/>
      <c r="P50" s="56"/>
      <c r="Q50" s="117"/>
      <c r="R50" s="26"/>
      <c r="S50" s="214"/>
      <c r="T50" s="55">
        <v>0.32106490061064868</v>
      </c>
      <c r="U50" s="137" t="str">
        <f t="shared" si="1"/>
        <v>pLOF</v>
      </c>
      <c r="V50" s="206" t="str">
        <f t="shared" si="2"/>
        <v>-p R-</v>
      </c>
      <c r="W50" s="127" t="str">
        <f t="shared" si="7"/>
        <v xml:space="preserve"> </v>
      </c>
      <c r="X50" s="207" t="str">
        <f t="shared" si="8"/>
        <v>T276I</v>
      </c>
      <c r="Y50" s="208" t="str">
        <f t="shared" si="9"/>
        <v xml:space="preserve"> </v>
      </c>
      <c r="Z50" s="213" t="str">
        <f t="shared" si="6"/>
        <v xml:space="preserve"> </v>
      </c>
      <c r="AA50" s="217"/>
    </row>
    <row r="51" spans="1:27" s="154" customFormat="1" x14ac:dyDescent="0.2">
      <c r="A51" s="140">
        <v>276</v>
      </c>
      <c r="B51" s="140" t="s">
        <v>66</v>
      </c>
      <c r="C51" s="140" t="s">
        <v>18</v>
      </c>
      <c r="D51" s="140" t="s">
        <v>70</v>
      </c>
      <c r="E51" s="154" t="s">
        <v>65</v>
      </c>
      <c r="F51" s="140" t="s">
        <v>133</v>
      </c>
      <c r="G51" s="160"/>
      <c r="H51" s="140"/>
      <c r="I51" s="161"/>
      <c r="J51" s="199"/>
      <c r="L51" s="55">
        <v>3.404751236916264E-2</v>
      </c>
      <c r="M51" s="55"/>
      <c r="N51" s="5" t="str">
        <f t="shared" si="0"/>
        <v>LOF</v>
      </c>
      <c r="O51" s="5"/>
      <c r="P51" s="56"/>
      <c r="Q51" s="117"/>
      <c r="R51" s="26"/>
      <c r="S51" s="214"/>
      <c r="T51" s="55">
        <v>0.37297989822181582</v>
      </c>
      <c r="U51" s="137" t="str">
        <f t="shared" si="1"/>
        <v>pLOF</v>
      </c>
      <c r="V51" s="206" t="str">
        <f t="shared" si="2"/>
        <v>-p R-</v>
      </c>
      <c r="W51" s="127" t="str">
        <f t="shared" si="7"/>
        <v xml:space="preserve"> </v>
      </c>
      <c r="X51" s="207" t="str">
        <f t="shared" si="8"/>
        <v>T276P</v>
      </c>
      <c r="Y51" s="208" t="str">
        <f t="shared" si="9"/>
        <v xml:space="preserve"> </v>
      </c>
      <c r="Z51" s="213" t="str">
        <f t="shared" si="6"/>
        <v xml:space="preserve"> </v>
      </c>
      <c r="AA51" s="217"/>
    </row>
    <row r="52" spans="1:27" s="154" customFormat="1" x14ac:dyDescent="0.2">
      <c r="A52" s="140">
        <v>277</v>
      </c>
      <c r="B52" s="140" t="s">
        <v>66</v>
      </c>
      <c r="C52" s="140" t="s">
        <v>27</v>
      </c>
      <c r="D52" s="140" t="s">
        <v>71</v>
      </c>
      <c r="E52" s="154" t="s">
        <v>65</v>
      </c>
      <c r="F52" s="140" t="s">
        <v>133</v>
      </c>
      <c r="G52" s="160"/>
      <c r="H52" s="140"/>
      <c r="I52" s="161"/>
      <c r="J52" s="199"/>
      <c r="L52" s="55">
        <v>2.4174545330167139E-2</v>
      </c>
      <c r="M52" s="55"/>
      <c r="N52" s="5" t="str">
        <f t="shared" si="0"/>
        <v>LOF</v>
      </c>
      <c r="O52" s="5"/>
      <c r="P52" s="56"/>
      <c r="Q52" s="117"/>
      <c r="R52" s="26"/>
      <c r="S52" s="214"/>
      <c r="T52" s="55">
        <v>0.44936609734492905</v>
      </c>
      <c r="U52" s="137" t="str">
        <f t="shared" si="1"/>
        <v>pLOF</v>
      </c>
      <c r="V52" s="206" t="str">
        <f t="shared" si="2"/>
        <v>-p R-</v>
      </c>
      <c r="W52" s="127" t="str">
        <f t="shared" si="7"/>
        <v xml:space="preserve"> </v>
      </c>
      <c r="X52" s="207" t="str">
        <f t="shared" si="8"/>
        <v>T277I</v>
      </c>
      <c r="Y52" s="208" t="str">
        <f t="shared" si="9"/>
        <v xml:space="preserve"> </v>
      </c>
      <c r="Z52" s="213" t="str">
        <f t="shared" si="6"/>
        <v xml:space="preserve"> </v>
      </c>
      <c r="AA52" s="217"/>
    </row>
    <row r="53" spans="1:27" s="154" customFormat="1" x14ac:dyDescent="0.2">
      <c r="A53" s="140">
        <v>278</v>
      </c>
      <c r="B53" s="140" t="s">
        <v>27</v>
      </c>
      <c r="C53" s="140" t="s">
        <v>66</v>
      </c>
      <c r="D53" s="140" t="s">
        <v>72</v>
      </c>
      <c r="E53" s="154" t="s">
        <v>65</v>
      </c>
      <c r="F53" s="140" t="s">
        <v>133</v>
      </c>
      <c r="G53" s="160"/>
      <c r="H53" s="140"/>
      <c r="I53" s="161"/>
      <c r="J53" s="199"/>
      <c r="L53" s="55">
        <v>6.3514585637325857E-2</v>
      </c>
      <c r="M53" s="55"/>
      <c r="N53" s="5" t="str">
        <f t="shared" si="0"/>
        <v>LOF</v>
      </c>
      <c r="O53" s="5"/>
      <c r="P53" s="56"/>
      <c r="Q53" s="113"/>
      <c r="R53" s="26"/>
      <c r="S53" s="214"/>
      <c r="T53" s="55">
        <v>0.24570109203568677</v>
      </c>
      <c r="U53" s="137" t="str">
        <f t="shared" si="1"/>
        <v>LOF</v>
      </c>
      <c r="V53" s="206" t="str">
        <f t="shared" si="2"/>
        <v>-D N-</v>
      </c>
      <c r="W53" s="127" t="str">
        <f t="shared" si="7"/>
        <v>I278T</v>
      </c>
      <c r="X53" s="207" t="str">
        <f t="shared" si="8"/>
        <v xml:space="preserve"> </v>
      </c>
      <c r="Y53" s="208" t="str">
        <f t="shared" si="9"/>
        <v xml:space="preserve"> </v>
      </c>
      <c r="Z53" s="213" t="str">
        <f t="shared" si="6"/>
        <v xml:space="preserve"> </v>
      </c>
      <c r="AA53" s="217"/>
    </row>
    <row r="54" spans="1:27" s="154" customFormat="1" x14ac:dyDescent="0.2">
      <c r="A54" s="140">
        <v>278</v>
      </c>
      <c r="B54" s="140" t="s">
        <v>27</v>
      </c>
      <c r="C54" s="140" t="s">
        <v>16</v>
      </c>
      <c r="D54" s="140" t="s">
        <v>73</v>
      </c>
      <c r="E54" s="154" t="s">
        <v>65</v>
      </c>
      <c r="F54" s="167" t="s">
        <v>1</v>
      </c>
      <c r="G54" s="160"/>
      <c r="H54" s="140"/>
      <c r="I54" s="161"/>
      <c r="J54" s="199"/>
      <c r="L54" s="55">
        <v>0.53958097106911196</v>
      </c>
      <c r="M54" s="55"/>
      <c r="N54" s="5" t="str">
        <f t="shared" si="0"/>
        <v>pLOF</v>
      </c>
      <c r="O54" s="5"/>
      <c r="P54" s="56"/>
      <c r="Q54" s="117"/>
      <c r="R54" s="26"/>
      <c r="S54" s="214"/>
      <c r="T54" s="55">
        <v>1.0936563359719838</v>
      </c>
      <c r="U54" s="137" t="str">
        <f t="shared" si="1"/>
        <v>N</v>
      </c>
      <c r="V54" s="206" t="str">
        <f t="shared" si="2"/>
        <v>-f R-</v>
      </c>
      <c r="W54" s="127" t="str">
        <f t="shared" si="7"/>
        <v xml:space="preserve"> </v>
      </c>
      <c r="X54" s="207" t="str">
        <f t="shared" si="8"/>
        <v xml:space="preserve"> </v>
      </c>
      <c r="Y54" s="208" t="str">
        <f t="shared" si="9"/>
        <v>I278V</v>
      </c>
      <c r="Z54" s="213" t="str">
        <f t="shared" si="6"/>
        <v xml:space="preserve"> </v>
      </c>
      <c r="AA54" s="217"/>
    </row>
    <row r="55" spans="1:27" s="154" customFormat="1" x14ac:dyDescent="0.2">
      <c r="A55" s="140">
        <v>279</v>
      </c>
      <c r="B55" s="140" t="s">
        <v>53</v>
      </c>
      <c r="C55" s="140" t="s">
        <v>44</v>
      </c>
      <c r="D55" s="140" t="s">
        <v>74</v>
      </c>
      <c r="E55" s="154" t="s">
        <v>65</v>
      </c>
      <c r="F55" s="140" t="s">
        <v>133</v>
      </c>
      <c r="G55" s="160"/>
      <c r="H55" s="140"/>
      <c r="I55" s="161"/>
      <c r="J55" s="199"/>
      <c r="L55" s="55">
        <v>4.8118682216616228E-2</v>
      </c>
      <c r="M55" s="55"/>
      <c r="N55" s="5" t="str">
        <f t="shared" si="0"/>
        <v>LOF</v>
      </c>
      <c r="O55" s="5"/>
      <c r="P55" s="56"/>
      <c r="Q55" s="117"/>
      <c r="R55" s="26"/>
      <c r="S55" s="214"/>
      <c r="T55" s="55">
        <v>0.49408993361116604</v>
      </c>
      <c r="U55" s="137" t="str">
        <f t="shared" si="1"/>
        <v>pLOF</v>
      </c>
      <c r="V55" s="206" t="str">
        <f t="shared" si="2"/>
        <v>-p R-</v>
      </c>
      <c r="W55" s="127" t="str">
        <f t="shared" si="7"/>
        <v xml:space="preserve"> </v>
      </c>
      <c r="X55" s="207" t="str">
        <f t="shared" si="8"/>
        <v>G279C</v>
      </c>
      <c r="Y55" s="208" t="str">
        <f t="shared" si="9"/>
        <v xml:space="preserve"> </v>
      </c>
      <c r="Z55" s="213" t="str">
        <f t="shared" si="6"/>
        <v xml:space="preserve"> </v>
      </c>
      <c r="AA55" s="217"/>
    </row>
    <row r="56" spans="1:27" s="154" customFormat="1" ht="13.5" customHeight="1" x14ac:dyDescent="0.2">
      <c r="A56" s="140">
        <v>279</v>
      </c>
      <c r="B56" s="140" t="s">
        <v>53</v>
      </c>
      <c r="C56" s="140" t="s">
        <v>25</v>
      </c>
      <c r="D56" s="140" t="s">
        <v>75</v>
      </c>
      <c r="E56" s="154" t="s">
        <v>65</v>
      </c>
      <c r="F56" s="140" t="s">
        <v>133</v>
      </c>
      <c r="G56" s="165" t="s">
        <v>122</v>
      </c>
      <c r="H56" s="140"/>
      <c r="I56" s="161"/>
      <c r="J56" s="199"/>
      <c r="L56" s="55">
        <v>4.8872213442878717E-2</v>
      </c>
      <c r="M56" s="55"/>
      <c r="N56" s="5" t="str">
        <f t="shared" si="0"/>
        <v>LOF</v>
      </c>
      <c r="O56" s="5"/>
      <c r="P56" s="56"/>
      <c r="Q56" s="117"/>
      <c r="R56" s="26"/>
      <c r="S56" s="214"/>
      <c r="T56" s="55">
        <v>0.32095462296690425</v>
      </c>
      <c r="U56" s="137" t="str">
        <f t="shared" si="1"/>
        <v>pLOF</v>
      </c>
      <c r="V56" s="206" t="str">
        <f t="shared" si="2"/>
        <v>-p R-</v>
      </c>
      <c r="W56" s="127" t="str">
        <f t="shared" si="7"/>
        <v xml:space="preserve"> </v>
      </c>
      <c r="X56" s="207" t="str">
        <f t="shared" si="8"/>
        <v>G279S</v>
      </c>
      <c r="Y56" s="208" t="str">
        <f t="shared" si="9"/>
        <v xml:space="preserve"> </v>
      </c>
      <c r="Z56" s="213" t="str">
        <f t="shared" si="6"/>
        <v xml:space="preserve"> </v>
      </c>
      <c r="AA56" s="217"/>
    </row>
    <row r="57" spans="1:27" s="154" customFormat="1" x14ac:dyDescent="0.2">
      <c r="A57" s="140">
        <v>280</v>
      </c>
      <c r="B57" s="140" t="s">
        <v>55</v>
      </c>
      <c r="C57" s="140" t="s">
        <v>46</v>
      </c>
      <c r="D57" s="140" t="s">
        <v>76</v>
      </c>
      <c r="E57" s="154" t="s">
        <v>65</v>
      </c>
      <c r="F57" s="140" t="s">
        <v>133</v>
      </c>
      <c r="G57" s="160"/>
      <c r="H57" s="140"/>
      <c r="I57" s="161"/>
      <c r="J57" s="199"/>
      <c r="L57" s="55">
        <v>4.8744538110243006E-2</v>
      </c>
      <c r="M57" s="55"/>
      <c r="N57" s="5" t="str">
        <f t="shared" ref="N57:N88" si="10">IF($L57&lt;=$N$16,"LOF",IF($L57&lt;=$N$17,"pLOF",IF($L57&lt;=$N$19,"N",IF($L57&gt;=$N$19,"GOF",""))))</f>
        <v>LOF</v>
      </c>
      <c r="O57" s="5"/>
      <c r="P57" s="56"/>
      <c r="Q57" s="117"/>
      <c r="R57" s="26"/>
      <c r="S57" s="214"/>
      <c r="T57" s="55">
        <v>0.20811332838635149</v>
      </c>
      <c r="U57" s="137" t="str">
        <f t="shared" ref="U57:U88" si="11">IF($T57&lt;=$N$16,"LOF",IF($T57&lt;=$N$17,"pLOF",IF($T57&lt;=$N$19,"N",IF($T57&gt;=$N$19,"GOF",""))))</f>
        <v>LOF</v>
      </c>
      <c r="V57" s="206" t="str">
        <f t="shared" ref="V57:V88" si="12">IF(AND(L57&lt;$N$16,T57&lt;$W$16),"-D N-",IF(AND(L57&lt;$N$16,T57&lt;$W$17),"-p R-",IF(AND(L57&lt;$N$16,T57&gt;$W$17),"-f R-",IF(AND(L57&lt;$N$17,T57&gt;$W$17),"-f R-",IF(AND(L57&gt;$N$19,T57&lt;$N$19),"-f R-",IF(N57=U57,"none",""))))))</f>
        <v>-D N-</v>
      </c>
      <c r="W57" s="127" t="str">
        <f t="shared" si="7"/>
        <v>Y280H</v>
      </c>
      <c r="X57" s="207" t="str">
        <f t="shared" si="8"/>
        <v xml:space="preserve"> </v>
      </c>
      <c r="Y57" s="208" t="str">
        <f t="shared" si="9"/>
        <v xml:space="preserve"> </v>
      </c>
      <c r="Z57" s="213" t="str">
        <f t="shared" si="6"/>
        <v xml:space="preserve"> </v>
      </c>
      <c r="AA57" s="217"/>
    </row>
    <row r="58" spans="1:27" s="154" customFormat="1" ht="13.5" customHeight="1" x14ac:dyDescent="0.2">
      <c r="A58" s="140">
        <v>281</v>
      </c>
      <c r="B58" s="140" t="s">
        <v>53</v>
      </c>
      <c r="C58" s="140" t="s">
        <v>33</v>
      </c>
      <c r="D58" s="140" t="s">
        <v>77</v>
      </c>
      <c r="E58" s="154" t="s">
        <v>65</v>
      </c>
      <c r="F58" s="140" t="s">
        <v>133</v>
      </c>
      <c r="G58" s="165" t="s">
        <v>122</v>
      </c>
      <c r="H58" s="140"/>
      <c r="I58" s="161"/>
      <c r="J58" s="199"/>
      <c r="L58" s="55">
        <v>4.0123572615714684E-2</v>
      </c>
      <c r="M58" s="55"/>
      <c r="N58" s="5" t="str">
        <f t="shared" si="10"/>
        <v>LOF</v>
      </c>
      <c r="O58" s="5"/>
      <c r="P58" s="56"/>
      <c r="Q58" s="117"/>
      <c r="R58" s="26"/>
      <c r="S58" s="214"/>
      <c r="T58" s="55">
        <v>0.27463784270012226</v>
      </c>
      <c r="U58" s="137" t="str">
        <f t="shared" si="11"/>
        <v>pLOF</v>
      </c>
      <c r="V58" s="206" t="str">
        <f t="shared" si="12"/>
        <v>-p R-</v>
      </c>
      <c r="W58" s="127" t="str">
        <f t="shared" si="7"/>
        <v xml:space="preserve"> </v>
      </c>
      <c r="X58" s="207" t="str">
        <f t="shared" si="8"/>
        <v>G281R</v>
      </c>
      <c r="Y58" s="208" t="str">
        <f t="shared" si="9"/>
        <v xml:space="preserve"> </v>
      </c>
      <c r="Z58" s="213" t="str">
        <f t="shared" si="6"/>
        <v xml:space="preserve"> </v>
      </c>
      <c r="AA58" s="217"/>
    </row>
    <row r="59" spans="1:27" s="154" customFormat="1" x14ac:dyDescent="0.2">
      <c r="A59" s="140">
        <v>281</v>
      </c>
      <c r="B59" s="140" t="s">
        <v>53</v>
      </c>
      <c r="C59" s="140" t="s">
        <v>36</v>
      </c>
      <c r="D59" s="140" t="s">
        <v>78</v>
      </c>
      <c r="E59" s="154" t="s">
        <v>65</v>
      </c>
      <c r="F59" s="140" t="s">
        <v>133</v>
      </c>
      <c r="G59" s="168"/>
      <c r="H59" s="140"/>
      <c r="I59" s="161"/>
      <c r="J59" s="199"/>
      <c r="L59" s="55">
        <v>3.5890130670415639E-2</v>
      </c>
      <c r="M59" s="55"/>
      <c r="N59" s="5" t="str">
        <f t="shared" si="10"/>
        <v>LOF</v>
      </c>
      <c r="O59" s="5"/>
      <c r="P59" s="56"/>
      <c r="Q59" s="117"/>
      <c r="R59" s="26"/>
      <c r="S59" s="214"/>
      <c r="T59" s="55">
        <v>0.61086218221342303</v>
      </c>
      <c r="U59" s="137" t="str">
        <f t="shared" si="11"/>
        <v>pLOF</v>
      </c>
      <c r="V59" s="206" t="str">
        <f t="shared" si="12"/>
        <v>-p R-</v>
      </c>
      <c r="W59" s="127" t="str">
        <f t="shared" si="7"/>
        <v xml:space="preserve"> </v>
      </c>
      <c r="X59" s="207" t="str">
        <f t="shared" si="8"/>
        <v>G281W</v>
      </c>
      <c r="Y59" s="208" t="str">
        <f t="shared" si="9"/>
        <v xml:space="preserve"> </v>
      </c>
      <c r="Z59" s="213" t="str">
        <f t="shared" si="6"/>
        <v xml:space="preserve"> </v>
      </c>
      <c r="AA59" s="217"/>
    </row>
    <row r="60" spans="1:27" s="154" customFormat="1" x14ac:dyDescent="0.2">
      <c r="A60" s="140">
        <v>282</v>
      </c>
      <c r="B60" s="140" t="s">
        <v>39</v>
      </c>
      <c r="C60" s="140" t="s">
        <v>29</v>
      </c>
      <c r="D60" s="140" t="s">
        <v>79</v>
      </c>
      <c r="E60" s="154" t="s">
        <v>65</v>
      </c>
      <c r="F60" s="140" t="s">
        <v>133</v>
      </c>
      <c r="G60" s="160"/>
      <c r="H60" s="140"/>
      <c r="I60" s="161"/>
      <c r="J60" s="199"/>
      <c r="L60" s="55">
        <v>5.8152816168803016E-2</v>
      </c>
      <c r="M60" s="55"/>
      <c r="N60" s="5" t="str">
        <f t="shared" si="10"/>
        <v>LOF</v>
      </c>
      <c r="O60" s="5"/>
      <c r="P60" s="56"/>
      <c r="Q60" s="117"/>
      <c r="R60" s="26"/>
      <c r="S60" s="214"/>
      <c r="T60" s="55">
        <v>0.49025342218596152</v>
      </c>
      <c r="U60" s="137" t="str">
        <f t="shared" si="11"/>
        <v>pLOF</v>
      </c>
      <c r="V60" s="206" t="str">
        <f t="shared" si="12"/>
        <v>-p R-</v>
      </c>
      <c r="W60" s="127" t="str">
        <f t="shared" si="7"/>
        <v xml:space="preserve"> </v>
      </c>
      <c r="X60" s="207" t="str">
        <f t="shared" si="8"/>
        <v>D282E</v>
      </c>
      <c r="Y60" s="208" t="str">
        <f t="shared" si="9"/>
        <v xml:space="preserve"> </v>
      </c>
      <c r="Z60" s="213" t="str">
        <f t="shared" si="6"/>
        <v xml:space="preserve"> </v>
      </c>
      <c r="AA60" s="217"/>
    </row>
    <row r="61" spans="1:27" s="154" customFormat="1" x14ac:dyDescent="0.2">
      <c r="A61" s="140">
        <v>282</v>
      </c>
      <c r="B61" s="140" t="s">
        <v>39</v>
      </c>
      <c r="C61" s="140" t="s">
        <v>46</v>
      </c>
      <c r="D61" s="140" t="s">
        <v>80</v>
      </c>
      <c r="E61" s="154" t="s">
        <v>65</v>
      </c>
      <c r="F61" s="140" t="s">
        <v>133</v>
      </c>
      <c r="G61" s="160"/>
      <c r="H61" s="140"/>
      <c r="I61" s="161"/>
      <c r="J61" s="199"/>
      <c r="L61" s="55">
        <v>5.7319654743084356E-2</v>
      </c>
      <c r="M61" s="55"/>
      <c r="N61" s="5" t="str">
        <f t="shared" si="10"/>
        <v>LOF</v>
      </c>
      <c r="O61" s="5"/>
      <c r="P61" s="56"/>
      <c r="Q61" s="117"/>
      <c r="R61" s="26"/>
      <c r="S61" s="214"/>
      <c r="T61" s="55">
        <v>0.35163849136649755</v>
      </c>
      <c r="U61" s="137" t="str">
        <f t="shared" si="11"/>
        <v>pLOF</v>
      </c>
      <c r="V61" s="206" t="str">
        <f t="shared" si="12"/>
        <v>-p R-</v>
      </c>
      <c r="W61" s="127" t="str">
        <f t="shared" si="7"/>
        <v xml:space="preserve"> </v>
      </c>
      <c r="X61" s="207" t="str">
        <f t="shared" si="8"/>
        <v>D282H</v>
      </c>
      <c r="Y61" s="208" t="str">
        <f t="shared" si="9"/>
        <v xml:space="preserve"> </v>
      </c>
      <c r="Z61" s="213" t="str">
        <f t="shared" si="6"/>
        <v xml:space="preserve"> </v>
      </c>
      <c r="AA61" s="217"/>
    </row>
    <row r="62" spans="1:27" s="154" customFormat="1" x14ac:dyDescent="0.2">
      <c r="A62" s="140">
        <v>284</v>
      </c>
      <c r="B62" s="140" t="s">
        <v>55</v>
      </c>
      <c r="C62" s="140" t="s">
        <v>39</v>
      </c>
      <c r="D62" s="140" t="s">
        <v>82</v>
      </c>
      <c r="E62" s="154" t="s">
        <v>65</v>
      </c>
      <c r="F62" s="140" t="s">
        <v>133</v>
      </c>
      <c r="G62" s="160"/>
      <c r="H62" s="140"/>
      <c r="I62" s="161"/>
      <c r="J62" s="199"/>
      <c r="L62" s="55">
        <v>3.5101694421013345E-2</v>
      </c>
      <c r="M62" s="55"/>
      <c r="N62" s="5" t="str">
        <f t="shared" si="10"/>
        <v>LOF</v>
      </c>
      <c r="O62" s="5"/>
      <c r="P62" s="56"/>
      <c r="Q62" s="117"/>
      <c r="R62" s="26"/>
      <c r="S62" s="214"/>
      <c r="T62" s="55">
        <v>0.92755558403123595</v>
      </c>
      <c r="U62" s="137" t="str">
        <f t="shared" si="11"/>
        <v>N</v>
      </c>
      <c r="V62" s="206" t="str">
        <f t="shared" si="12"/>
        <v>-f R-</v>
      </c>
      <c r="W62" s="127" t="str">
        <f t="shared" si="7"/>
        <v xml:space="preserve"> </v>
      </c>
      <c r="X62" s="207" t="str">
        <f t="shared" si="8"/>
        <v xml:space="preserve"> </v>
      </c>
      <c r="Y62" s="208" t="str">
        <f t="shared" si="9"/>
        <v>Y284D</v>
      </c>
      <c r="Z62" s="213" t="str">
        <f t="shared" si="6"/>
        <v xml:space="preserve"> </v>
      </c>
      <c r="AA62" s="217"/>
    </row>
    <row r="63" spans="1:27" s="154" customFormat="1" x14ac:dyDescent="0.2">
      <c r="A63" s="140">
        <v>284</v>
      </c>
      <c r="B63" s="140" t="s">
        <v>55</v>
      </c>
      <c r="C63" s="140" t="s">
        <v>44</v>
      </c>
      <c r="D63" s="140" t="s">
        <v>81</v>
      </c>
      <c r="E63" s="154" t="s">
        <v>65</v>
      </c>
      <c r="F63" s="140" t="s">
        <v>3</v>
      </c>
      <c r="G63" s="165" t="s">
        <v>122</v>
      </c>
      <c r="H63" s="140"/>
      <c r="I63" s="161"/>
      <c r="J63" s="199"/>
      <c r="L63" s="55">
        <v>0.30298246891126085</v>
      </c>
      <c r="M63" s="55"/>
      <c r="N63" s="5" t="str">
        <f t="shared" si="10"/>
        <v>pLOF</v>
      </c>
      <c r="O63" s="5"/>
      <c r="P63" s="56"/>
      <c r="Q63" s="117"/>
      <c r="R63" s="26"/>
      <c r="S63" s="214"/>
      <c r="T63" s="55">
        <v>0.32085203683084967</v>
      </c>
      <c r="U63" s="137" t="str">
        <f t="shared" si="11"/>
        <v>pLOF</v>
      </c>
      <c r="V63" s="206" t="str">
        <f t="shared" si="12"/>
        <v>none</v>
      </c>
      <c r="W63" s="127" t="str">
        <f t="shared" si="7"/>
        <v xml:space="preserve"> </v>
      </c>
      <c r="X63" s="207" t="str">
        <f t="shared" si="8"/>
        <v xml:space="preserve"> </v>
      </c>
      <c r="Y63" s="208" t="str">
        <f t="shared" si="9"/>
        <v xml:space="preserve"> </v>
      </c>
      <c r="Z63" s="213" t="str">
        <f t="shared" si="6"/>
        <v>Y284C</v>
      </c>
      <c r="AA63" s="217"/>
    </row>
    <row r="64" spans="1:27" s="154" customFormat="1" x14ac:dyDescent="0.2">
      <c r="A64" s="140">
        <v>284</v>
      </c>
      <c r="B64" s="140" t="s">
        <v>55</v>
      </c>
      <c r="C64" s="140" t="s">
        <v>46</v>
      </c>
      <c r="D64" s="140" t="s">
        <v>83</v>
      </c>
      <c r="E64" s="154" t="s">
        <v>65</v>
      </c>
      <c r="F64" s="140" t="s">
        <v>133</v>
      </c>
      <c r="G64" s="160"/>
      <c r="H64" s="140"/>
      <c r="I64" s="161"/>
      <c r="J64" s="199"/>
      <c r="L64" s="55">
        <v>7.1188138486543512E-2</v>
      </c>
      <c r="M64" s="55"/>
      <c r="N64" s="5" t="str">
        <f t="shared" si="10"/>
        <v>LOF</v>
      </c>
      <c r="O64" s="5"/>
      <c r="P64" s="56"/>
      <c r="Q64" s="117"/>
      <c r="R64" s="26"/>
      <c r="S64" s="214"/>
      <c r="T64" s="55">
        <v>0.57922454951290614</v>
      </c>
      <c r="U64" s="137" t="str">
        <f t="shared" si="11"/>
        <v>pLOF</v>
      </c>
      <c r="V64" s="206" t="str">
        <f t="shared" si="12"/>
        <v>-p R-</v>
      </c>
      <c r="W64" s="127" t="str">
        <f t="shared" si="7"/>
        <v xml:space="preserve"> </v>
      </c>
      <c r="X64" s="207" t="str">
        <f t="shared" si="8"/>
        <v>Y284H</v>
      </c>
      <c r="Y64" s="208" t="str">
        <f t="shared" si="9"/>
        <v xml:space="preserve"> </v>
      </c>
      <c r="Z64" s="213" t="str">
        <f t="shared" si="6"/>
        <v xml:space="preserve"> </v>
      </c>
      <c r="AA64" s="217"/>
    </row>
    <row r="65" spans="1:27" s="154" customFormat="1" x14ac:dyDescent="0.2">
      <c r="A65" s="140">
        <v>284</v>
      </c>
      <c r="B65" s="140" t="s">
        <v>55</v>
      </c>
      <c r="C65" s="140" t="s">
        <v>84</v>
      </c>
      <c r="D65" s="140" t="s">
        <v>85</v>
      </c>
      <c r="E65" s="154" t="s">
        <v>65</v>
      </c>
      <c r="F65" s="140" t="s">
        <v>133</v>
      </c>
      <c r="G65" s="160"/>
      <c r="H65" s="140"/>
      <c r="I65" s="161"/>
      <c r="J65" s="199"/>
      <c r="L65" s="55">
        <v>9.3286532616758316E-2</v>
      </c>
      <c r="M65" s="55"/>
      <c r="N65" s="5" t="str">
        <f t="shared" si="10"/>
        <v>LOF</v>
      </c>
      <c r="O65" s="5"/>
      <c r="P65" s="56"/>
      <c r="Q65" s="117"/>
      <c r="R65" s="26"/>
      <c r="S65" s="214"/>
      <c r="T65" s="55">
        <v>0.45380441126853244</v>
      </c>
      <c r="U65" s="137" t="str">
        <f t="shared" si="11"/>
        <v>pLOF</v>
      </c>
      <c r="V65" s="206" t="str">
        <f t="shared" si="12"/>
        <v>-p R-</v>
      </c>
      <c r="W65" s="127" t="str">
        <f t="shared" si="7"/>
        <v xml:space="preserve"> </v>
      </c>
      <c r="X65" s="207" t="str">
        <f t="shared" si="8"/>
        <v>Y284N</v>
      </c>
      <c r="Y65" s="208" t="str">
        <f t="shared" si="9"/>
        <v xml:space="preserve"> </v>
      </c>
      <c r="Z65" s="213" t="str">
        <f t="shared" si="6"/>
        <v xml:space="preserve"> </v>
      </c>
      <c r="AA65" s="217"/>
    </row>
    <row r="66" spans="1:27" s="154" customFormat="1" x14ac:dyDescent="0.2">
      <c r="A66" s="140">
        <v>291</v>
      </c>
      <c r="B66" s="140" t="s">
        <v>33</v>
      </c>
      <c r="C66" s="140" t="s">
        <v>53</v>
      </c>
      <c r="D66" s="140" t="s">
        <v>86</v>
      </c>
      <c r="E66" s="154" t="s">
        <v>65</v>
      </c>
      <c r="F66" s="140" t="s">
        <v>133</v>
      </c>
      <c r="G66" s="160"/>
      <c r="H66" s="140"/>
      <c r="I66" s="161"/>
      <c r="J66" s="199"/>
      <c r="L66" s="55">
        <v>5.0985787149179659E-2</v>
      </c>
      <c r="M66" s="55"/>
      <c r="N66" s="5" t="str">
        <f t="shared" si="10"/>
        <v>LOF</v>
      </c>
      <c r="O66" s="5"/>
      <c r="P66" s="56"/>
      <c r="Q66" s="113"/>
      <c r="R66" s="26"/>
      <c r="S66" s="214"/>
      <c r="T66" s="55">
        <v>0.32169180146554222</v>
      </c>
      <c r="U66" s="137" t="str">
        <f t="shared" si="11"/>
        <v>pLOF</v>
      </c>
      <c r="V66" s="206" t="str">
        <f t="shared" si="12"/>
        <v>-p R-</v>
      </c>
      <c r="W66" s="127" t="str">
        <f t="shared" si="7"/>
        <v xml:space="preserve"> </v>
      </c>
      <c r="X66" s="207" t="str">
        <f t="shared" si="8"/>
        <v>R291G</v>
      </c>
      <c r="Y66" s="208" t="str">
        <f t="shared" si="9"/>
        <v xml:space="preserve"> </v>
      </c>
      <c r="Z66" s="213" t="str">
        <f t="shared" si="6"/>
        <v xml:space="preserve"> </v>
      </c>
      <c r="AA66" s="217"/>
    </row>
    <row r="67" spans="1:27" s="154" customFormat="1" x14ac:dyDescent="0.2">
      <c r="A67" s="140" t="s">
        <v>150</v>
      </c>
      <c r="B67" s="140" t="s">
        <v>88</v>
      </c>
      <c r="C67" s="140" t="s">
        <v>89</v>
      </c>
      <c r="D67" s="140" t="s">
        <v>90</v>
      </c>
      <c r="E67" s="154" t="s">
        <v>87</v>
      </c>
      <c r="F67" s="140" t="s">
        <v>133</v>
      </c>
      <c r="G67" s="160"/>
      <c r="H67" s="140"/>
      <c r="I67" s="161"/>
      <c r="J67" s="199"/>
      <c r="L67" s="55">
        <v>4.1936963471865832E-2</v>
      </c>
      <c r="M67" s="55"/>
      <c r="N67" s="5" t="str">
        <f t="shared" si="10"/>
        <v>LOF</v>
      </c>
      <c r="O67" s="5"/>
      <c r="P67" s="56"/>
      <c r="Q67" s="117"/>
      <c r="R67" s="26"/>
      <c r="S67" s="214"/>
      <c r="T67" s="55">
        <v>0.43493435133857844</v>
      </c>
      <c r="U67" s="137" t="str">
        <f t="shared" si="11"/>
        <v>pLOF</v>
      </c>
      <c r="V67" s="206" t="str">
        <f t="shared" si="12"/>
        <v>-p R-</v>
      </c>
      <c r="W67" s="127" t="str">
        <f t="shared" si="7"/>
        <v xml:space="preserve"> </v>
      </c>
      <c r="X67" s="207" t="str">
        <f t="shared" si="8"/>
        <v>L292P:L293F</v>
      </c>
      <c r="Y67" s="208" t="str">
        <f t="shared" si="9"/>
        <v xml:space="preserve"> </v>
      </c>
      <c r="Z67" s="213" t="str">
        <f t="shared" si="6"/>
        <v xml:space="preserve"> </v>
      </c>
      <c r="AA67" s="217"/>
    </row>
    <row r="68" spans="1:27" s="154" customFormat="1" x14ac:dyDescent="0.2">
      <c r="A68" s="140">
        <v>294</v>
      </c>
      <c r="B68" s="140" t="s">
        <v>15</v>
      </c>
      <c r="C68" s="140" t="s">
        <v>16</v>
      </c>
      <c r="D68" s="140" t="s">
        <v>92</v>
      </c>
      <c r="E68" s="154" t="s">
        <v>87</v>
      </c>
      <c r="F68" s="140" t="s">
        <v>133</v>
      </c>
      <c r="G68" s="165" t="s">
        <v>122</v>
      </c>
      <c r="H68" s="140"/>
      <c r="I68" s="161"/>
      <c r="J68" s="199"/>
      <c r="L68" s="55">
        <v>3.8844232282910673E-2</v>
      </c>
      <c r="M68" s="55"/>
      <c r="N68" s="5" t="str">
        <f t="shared" si="10"/>
        <v>LOF</v>
      </c>
      <c r="O68" s="5"/>
      <c r="P68" s="56"/>
      <c r="Q68" s="117"/>
      <c r="R68" s="26"/>
      <c r="S68" s="214"/>
      <c r="T68" s="55">
        <v>0.48604999525035025</v>
      </c>
      <c r="U68" s="137" t="str">
        <f t="shared" si="11"/>
        <v>pLOF</v>
      </c>
      <c r="V68" s="206" t="str">
        <f t="shared" si="12"/>
        <v>-p R-</v>
      </c>
      <c r="W68" s="127" t="str">
        <f t="shared" si="7"/>
        <v xml:space="preserve"> </v>
      </c>
      <c r="X68" s="207" t="str">
        <f t="shared" si="8"/>
        <v>A294V</v>
      </c>
      <c r="Y68" s="208" t="str">
        <f t="shared" si="9"/>
        <v xml:space="preserve"> </v>
      </c>
      <c r="Z68" s="213" t="str">
        <f t="shared" si="6"/>
        <v xml:space="preserve"> </v>
      </c>
      <c r="AA68" s="217"/>
    </row>
    <row r="69" spans="1:27" s="154" customFormat="1" x14ac:dyDescent="0.2">
      <c r="A69" s="140">
        <v>294</v>
      </c>
      <c r="B69" s="140" t="s">
        <v>15</v>
      </c>
      <c r="C69" s="140" t="s">
        <v>53</v>
      </c>
      <c r="D69" s="140" t="s">
        <v>91</v>
      </c>
      <c r="E69" s="154" t="s">
        <v>87</v>
      </c>
      <c r="F69" s="140" t="s">
        <v>3</v>
      </c>
      <c r="G69" s="165" t="s">
        <v>122</v>
      </c>
      <c r="H69" s="140"/>
      <c r="I69" s="161"/>
      <c r="J69" s="199"/>
      <c r="L69" s="55">
        <v>0.22267005532928025</v>
      </c>
      <c r="M69" s="55"/>
      <c r="N69" s="5" t="str">
        <f t="shared" si="10"/>
        <v>LOF</v>
      </c>
      <c r="O69" s="5"/>
      <c r="P69" s="56"/>
      <c r="Q69" s="117"/>
      <c r="R69" s="26"/>
      <c r="S69" s="214"/>
      <c r="T69" s="211">
        <v>0.42444064454404401</v>
      </c>
      <c r="U69" s="137" t="str">
        <f t="shared" si="11"/>
        <v>pLOF</v>
      </c>
      <c r="V69" s="206" t="str">
        <f t="shared" si="12"/>
        <v>-p R-</v>
      </c>
      <c r="W69" s="127" t="str">
        <f t="shared" si="7"/>
        <v xml:space="preserve"> </v>
      </c>
      <c r="X69" s="207" t="str">
        <f t="shared" si="8"/>
        <v>A294G</v>
      </c>
      <c r="Y69" s="208" t="str">
        <f t="shared" si="9"/>
        <v xml:space="preserve"> </v>
      </c>
      <c r="Z69" s="213" t="str">
        <f t="shared" si="6"/>
        <v xml:space="preserve"> </v>
      </c>
      <c r="AA69" s="217"/>
    </row>
    <row r="70" spans="1:27" s="154" customFormat="1" x14ac:dyDescent="0.2">
      <c r="A70" s="140">
        <v>305</v>
      </c>
      <c r="B70" s="140" t="s">
        <v>22</v>
      </c>
      <c r="C70" s="140" t="s">
        <v>93</v>
      </c>
      <c r="D70" s="140" t="s">
        <v>94</v>
      </c>
      <c r="E70" s="154" t="s">
        <v>87</v>
      </c>
      <c r="F70" s="140" t="s">
        <v>133</v>
      </c>
      <c r="G70" s="160"/>
      <c r="H70" s="140"/>
      <c r="I70" s="161"/>
      <c r="J70" s="199"/>
      <c r="L70" s="55">
        <v>3.7067144659116216E-2</v>
      </c>
      <c r="M70" s="55"/>
      <c r="N70" s="5" t="str">
        <f t="shared" si="10"/>
        <v>LOF</v>
      </c>
      <c r="O70" s="5"/>
      <c r="P70" s="56"/>
      <c r="Q70" s="117"/>
      <c r="R70" s="26"/>
      <c r="S70" s="214"/>
      <c r="T70" s="55">
        <v>0.39167289566991609</v>
      </c>
      <c r="U70" s="137" t="str">
        <f t="shared" si="11"/>
        <v>pLOF</v>
      </c>
      <c r="V70" s="206" t="str">
        <f t="shared" si="12"/>
        <v>-p R-</v>
      </c>
      <c r="W70" s="127" t="str">
        <f t="shared" si="7"/>
        <v xml:space="preserve"> </v>
      </c>
      <c r="X70" s="207" t="str">
        <f t="shared" si="8"/>
        <v>F305del</v>
      </c>
      <c r="Y70" s="208" t="str">
        <f t="shared" si="9"/>
        <v xml:space="preserve"> </v>
      </c>
      <c r="Z70" s="213" t="str">
        <f t="shared" si="6"/>
        <v xml:space="preserve"> </v>
      </c>
      <c r="AA70" s="217"/>
    </row>
    <row r="71" spans="1:27" s="154" customFormat="1" x14ac:dyDescent="0.2">
      <c r="A71" s="140">
        <v>306</v>
      </c>
      <c r="B71" s="140" t="s">
        <v>15</v>
      </c>
      <c r="C71" s="140" t="s">
        <v>18</v>
      </c>
      <c r="D71" s="140" t="s">
        <v>95</v>
      </c>
      <c r="E71" s="154" t="s">
        <v>87</v>
      </c>
      <c r="F71" s="167" t="s">
        <v>133</v>
      </c>
      <c r="G71" s="160"/>
      <c r="H71" s="140"/>
      <c r="I71" s="161"/>
      <c r="J71" s="199"/>
      <c r="L71" s="55">
        <v>5.2281707149616087E-2</v>
      </c>
      <c r="M71" s="55"/>
      <c r="N71" s="5" t="str">
        <f t="shared" si="10"/>
        <v>LOF</v>
      </c>
      <c r="O71" s="5"/>
      <c r="P71" s="56"/>
      <c r="Q71" s="117"/>
      <c r="R71" s="26"/>
      <c r="S71" s="214"/>
      <c r="T71" s="55">
        <v>0.28840638958599996</v>
      </c>
      <c r="U71" s="137" t="str">
        <f t="shared" si="11"/>
        <v>pLOF</v>
      </c>
      <c r="V71" s="206" t="str">
        <f t="shared" si="12"/>
        <v>-p R-</v>
      </c>
      <c r="W71" s="127" t="str">
        <f t="shared" si="7"/>
        <v xml:space="preserve"> </v>
      </c>
      <c r="X71" s="207" t="str">
        <f t="shared" si="8"/>
        <v>A306P</v>
      </c>
      <c r="Y71" s="208" t="str">
        <f t="shared" si="9"/>
        <v xml:space="preserve"> </v>
      </c>
      <c r="Z71" s="213" t="str">
        <f t="shared" si="6"/>
        <v xml:space="preserve"> </v>
      </c>
      <c r="AA71" s="217"/>
    </row>
    <row r="72" spans="1:27" s="154" customFormat="1" x14ac:dyDescent="0.2">
      <c r="A72" s="140">
        <v>306</v>
      </c>
      <c r="B72" s="140" t="s">
        <v>15</v>
      </c>
      <c r="C72" s="140" t="s">
        <v>66</v>
      </c>
      <c r="D72" s="140" t="s">
        <v>96</v>
      </c>
      <c r="E72" s="154" t="s">
        <v>87</v>
      </c>
      <c r="F72" s="140" t="s">
        <v>3</v>
      </c>
      <c r="G72" s="165" t="s">
        <v>122</v>
      </c>
      <c r="H72" s="140"/>
      <c r="I72" s="161"/>
      <c r="J72" s="199"/>
      <c r="L72" s="55">
        <v>0.31276383212785469</v>
      </c>
      <c r="M72" s="55"/>
      <c r="N72" s="5" t="str">
        <f t="shared" si="10"/>
        <v>pLOF</v>
      </c>
      <c r="O72" s="5"/>
      <c r="P72" s="56"/>
      <c r="Q72" s="117"/>
      <c r="R72" s="26"/>
      <c r="S72" s="214"/>
      <c r="T72" s="55">
        <v>0.69952270487944168</v>
      </c>
      <c r="U72" s="137" t="str">
        <f t="shared" si="11"/>
        <v>pLOF</v>
      </c>
      <c r="V72" s="206" t="str">
        <f t="shared" si="12"/>
        <v>none</v>
      </c>
      <c r="W72" s="127" t="str">
        <f t="shared" si="7"/>
        <v xml:space="preserve"> </v>
      </c>
      <c r="X72" s="207" t="str">
        <f t="shared" si="8"/>
        <v xml:space="preserve"> </v>
      </c>
      <c r="Y72" s="208" t="str">
        <f t="shared" si="9"/>
        <v xml:space="preserve"> </v>
      </c>
      <c r="Z72" s="213" t="str">
        <f t="shared" si="6"/>
        <v>A306T</v>
      </c>
      <c r="AA72" s="217"/>
    </row>
    <row r="73" spans="1:27" s="154" customFormat="1" x14ac:dyDescent="0.2">
      <c r="A73" s="140">
        <v>306</v>
      </c>
      <c r="B73" s="140" t="s">
        <v>15</v>
      </c>
      <c r="C73" s="140" t="s">
        <v>16</v>
      </c>
      <c r="D73" s="140" t="s">
        <v>97</v>
      </c>
      <c r="E73" s="154" t="s">
        <v>87</v>
      </c>
      <c r="F73" s="140" t="s">
        <v>133</v>
      </c>
      <c r="G73" s="160"/>
      <c r="H73" s="140"/>
      <c r="I73" s="161"/>
      <c r="J73" s="199"/>
      <c r="L73" s="55">
        <v>8.9992460661526566E-2</v>
      </c>
      <c r="M73" s="55"/>
      <c r="N73" s="5" t="str">
        <f t="shared" si="10"/>
        <v>LOF</v>
      </c>
      <c r="O73" s="5"/>
      <c r="P73" s="56"/>
      <c r="Q73" s="117"/>
      <c r="R73" s="26"/>
      <c r="S73" s="214"/>
      <c r="T73" s="55">
        <v>0.44669447352211145</v>
      </c>
      <c r="U73" s="137" t="str">
        <f t="shared" si="11"/>
        <v>pLOF</v>
      </c>
      <c r="V73" s="206" t="str">
        <f t="shared" si="12"/>
        <v>-p R-</v>
      </c>
      <c r="W73" s="127" t="str">
        <f t="shared" si="7"/>
        <v xml:space="preserve"> </v>
      </c>
      <c r="X73" s="207" t="str">
        <f t="shared" si="8"/>
        <v>A306V</v>
      </c>
      <c r="Y73" s="208" t="str">
        <f t="shared" si="9"/>
        <v xml:space="preserve"> </v>
      </c>
      <c r="Z73" s="213" t="str">
        <f t="shared" si="6"/>
        <v xml:space="preserve"> </v>
      </c>
      <c r="AA73" s="217"/>
    </row>
    <row r="74" spans="1:27" s="154" customFormat="1" x14ac:dyDescent="0.2">
      <c r="A74" s="140">
        <v>333</v>
      </c>
      <c r="B74" s="140" t="s">
        <v>33</v>
      </c>
      <c r="C74" s="140" t="s">
        <v>34</v>
      </c>
      <c r="D74" s="140" t="s">
        <v>99</v>
      </c>
      <c r="E74" s="154" t="s">
        <v>98</v>
      </c>
      <c r="F74" s="140" t="s">
        <v>3</v>
      </c>
      <c r="G74" s="165" t="s">
        <v>122</v>
      </c>
      <c r="H74" s="140"/>
      <c r="I74" s="161"/>
      <c r="J74" s="199"/>
      <c r="L74" s="55">
        <v>1.164728036855184</v>
      </c>
      <c r="M74" s="55"/>
      <c r="N74" s="5" t="str">
        <f t="shared" si="10"/>
        <v>N</v>
      </c>
      <c r="O74" s="5"/>
      <c r="P74" s="56"/>
      <c r="Q74" s="117"/>
      <c r="R74" s="1"/>
      <c r="S74" s="214"/>
      <c r="T74" s="55">
        <v>0.73821029755395928</v>
      </c>
      <c r="U74" s="137" t="str">
        <f t="shared" si="11"/>
        <v>pLOF</v>
      </c>
      <c r="V74" s="206" t="str">
        <f t="shared" si="12"/>
        <v/>
      </c>
      <c r="W74" s="127" t="str">
        <f t="shared" si="7"/>
        <v xml:space="preserve"> </v>
      </c>
      <c r="X74" s="207" t="str">
        <f t="shared" si="8"/>
        <v xml:space="preserve"> </v>
      </c>
      <c r="Y74" s="208" t="str">
        <f t="shared" si="9"/>
        <v xml:space="preserve"> </v>
      </c>
      <c r="Z74" s="213" t="str">
        <f t="shared" si="6"/>
        <v xml:space="preserve"> </v>
      </c>
      <c r="AA74" s="217"/>
    </row>
    <row r="75" spans="1:27" s="154" customFormat="1" x14ac:dyDescent="0.2">
      <c r="A75" s="140">
        <v>333</v>
      </c>
      <c r="B75" s="140" t="s">
        <v>33</v>
      </c>
      <c r="C75" s="140" t="s">
        <v>36</v>
      </c>
      <c r="D75" s="140" t="s">
        <v>100</v>
      </c>
      <c r="E75" s="154" t="s">
        <v>98</v>
      </c>
      <c r="F75" s="140" t="s">
        <v>133</v>
      </c>
      <c r="G75" s="160"/>
      <c r="H75" s="140"/>
      <c r="I75" s="161"/>
      <c r="J75" s="199"/>
      <c r="L75" s="55">
        <v>0.85567296181894503</v>
      </c>
      <c r="M75" s="55"/>
      <c r="N75" s="5" t="str">
        <f t="shared" si="10"/>
        <v>N</v>
      </c>
      <c r="O75" s="5"/>
      <c r="P75" s="56"/>
      <c r="Q75" s="113"/>
      <c r="R75" s="26"/>
      <c r="S75" s="214"/>
      <c r="T75" s="55">
        <v>0.8801977478204035</v>
      </c>
      <c r="U75" s="137" t="str">
        <f t="shared" si="11"/>
        <v>N</v>
      </c>
      <c r="V75" s="206" t="str">
        <f t="shared" si="12"/>
        <v>none</v>
      </c>
      <c r="W75" s="127" t="str">
        <f t="shared" si="7"/>
        <v xml:space="preserve"> </v>
      </c>
      <c r="X75" s="207" t="str">
        <f t="shared" si="8"/>
        <v xml:space="preserve"> </v>
      </c>
      <c r="Y75" s="208" t="str">
        <f t="shared" si="9"/>
        <v xml:space="preserve"> </v>
      </c>
      <c r="Z75" s="213" t="str">
        <f t="shared" si="6"/>
        <v>R333W</v>
      </c>
      <c r="AA75" s="217"/>
    </row>
    <row r="76" spans="1:27" s="154" customFormat="1" x14ac:dyDescent="0.2">
      <c r="A76" s="140">
        <v>335</v>
      </c>
      <c r="B76" s="140" t="s">
        <v>18</v>
      </c>
      <c r="C76" s="140" t="s">
        <v>17</v>
      </c>
      <c r="D76" s="140" t="s">
        <v>101</v>
      </c>
      <c r="E76" s="154" t="s">
        <v>98</v>
      </c>
      <c r="F76" s="140" t="s">
        <v>133</v>
      </c>
      <c r="G76" s="160"/>
      <c r="H76" s="140"/>
      <c r="I76" s="161"/>
      <c r="J76" s="199"/>
      <c r="L76" s="55">
        <v>0.14420735625519532</v>
      </c>
      <c r="M76" s="55"/>
      <c r="N76" s="5" t="str">
        <f t="shared" si="10"/>
        <v>LOF</v>
      </c>
      <c r="O76" s="5"/>
      <c r="P76" s="56"/>
      <c r="Q76" s="113"/>
      <c r="R76" s="26"/>
      <c r="S76" s="214"/>
      <c r="T76" s="55">
        <v>0.81692395687468633</v>
      </c>
      <c r="U76" s="137" t="str">
        <f t="shared" si="11"/>
        <v>N</v>
      </c>
      <c r="V76" s="206" t="str">
        <f t="shared" si="12"/>
        <v>-f R-</v>
      </c>
      <c r="W76" s="127" t="str">
        <f t="shared" si="7"/>
        <v xml:space="preserve"> </v>
      </c>
      <c r="X76" s="207" t="str">
        <f t="shared" si="8"/>
        <v xml:space="preserve"> </v>
      </c>
      <c r="Y76" s="208" t="str">
        <f t="shared" si="9"/>
        <v>P335L</v>
      </c>
      <c r="Z76" s="213" t="str">
        <f t="shared" si="6"/>
        <v xml:space="preserve"> </v>
      </c>
      <c r="AA76" s="217"/>
    </row>
    <row r="77" spans="1:27" s="154" customFormat="1" x14ac:dyDescent="0.2">
      <c r="A77" s="140">
        <v>375</v>
      </c>
      <c r="B77" s="140" t="s">
        <v>34</v>
      </c>
      <c r="C77" s="140" t="s">
        <v>29</v>
      </c>
      <c r="D77" s="140" t="s">
        <v>102</v>
      </c>
      <c r="E77" s="154" t="s">
        <v>98</v>
      </c>
      <c r="F77" s="140" t="s">
        <v>1</v>
      </c>
      <c r="G77" s="160"/>
      <c r="H77" s="140"/>
      <c r="I77" s="161"/>
      <c r="J77" s="199"/>
      <c r="L77" s="55">
        <v>0.62001905122855938</v>
      </c>
      <c r="M77" s="55"/>
      <c r="N77" s="5" t="str">
        <f t="shared" si="10"/>
        <v>pLOF</v>
      </c>
      <c r="O77" s="5"/>
      <c r="P77" s="56"/>
      <c r="Q77" s="117"/>
      <c r="R77" s="26"/>
      <c r="S77" s="214"/>
      <c r="T77" s="55">
        <v>0.81526610960435197</v>
      </c>
      <c r="U77" s="137" t="str">
        <f t="shared" si="11"/>
        <v>N</v>
      </c>
      <c r="V77" s="206" t="str">
        <f t="shared" si="12"/>
        <v>-f R-</v>
      </c>
      <c r="W77" s="127" t="str">
        <f t="shared" si="7"/>
        <v xml:space="preserve"> </v>
      </c>
      <c r="X77" s="207" t="str">
        <f t="shared" si="8"/>
        <v xml:space="preserve"> </v>
      </c>
      <c r="Y77" s="208" t="str">
        <f t="shared" si="9"/>
        <v>Q375E</v>
      </c>
      <c r="Z77" s="213" t="str">
        <f t="shared" si="6"/>
        <v xml:space="preserve"> </v>
      </c>
      <c r="AA77" s="217"/>
    </row>
    <row r="78" spans="1:27" s="154" customFormat="1" x14ac:dyDescent="0.2">
      <c r="A78" s="140">
        <v>410</v>
      </c>
      <c r="B78" s="140" t="s">
        <v>18</v>
      </c>
      <c r="C78" s="140" t="s">
        <v>103</v>
      </c>
      <c r="D78" s="140" t="s">
        <v>104</v>
      </c>
      <c r="E78" s="154" t="s">
        <v>98</v>
      </c>
      <c r="F78" s="140" t="s">
        <v>1</v>
      </c>
      <c r="G78" s="160"/>
      <c r="H78" s="140"/>
      <c r="I78" s="161"/>
      <c r="J78" s="199"/>
      <c r="L78" s="55">
        <v>0.46005331150089085</v>
      </c>
      <c r="M78" s="55"/>
      <c r="N78" s="5" t="str">
        <f t="shared" si="10"/>
        <v>pLOF</v>
      </c>
      <c r="O78" s="5"/>
      <c r="P78" s="56"/>
      <c r="Q78" s="117"/>
      <c r="R78" s="26"/>
      <c r="S78" s="214"/>
      <c r="T78" s="55">
        <v>0.82875364422362319</v>
      </c>
      <c r="U78" s="137" t="str">
        <f t="shared" si="11"/>
        <v>N</v>
      </c>
      <c r="V78" s="206" t="str">
        <f t="shared" si="12"/>
        <v>-f R-</v>
      </c>
      <c r="W78" s="127" t="str">
        <f t="shared" si="7"/>
        <v xml:space="preserve"> </v>
      </c>
      <c r="X78" s="207" t="str">
        <f t="shared" si="8"/>
        <v xml:space="preserve"> </v>
      </c>
      <c r="Y78" s="208" t="str">
        <f t="shared" si="9"/>
        <v>P410L</v>
      </c>
      <c r="Z78" s="213" t="str">
        <f t="shared" si="6"/>
        <v xml:space="preserve"> </v>
      </c>
      <c r="AA78" s="217"/>
    </row>
    <row r="79" spans="1:27" s="154" customFormat="1" x14ac:dyDescent="0.2">
      <c r="A79" s="140">
        <v>502</v>
      </c>
      <c r="B79" s="140" t="s">
        <v>15</v>
      </c>
      <c r="C79" s="140" t="s">
        <v>16</v>
      </c>
      <c r="D79" s="140" t="s">
        <v>121</v>
      </c>
      <c r="E79" s="154" t="s">
        <v>98</v>
      </c>
      <c r="F79" s="140" t="s">
        <v>1</v>
      </c>
      <c r="G79" s="160"/>
      <c r="H79" s="140"/>
      <c r="I79" s="161"/>
      <c r="J79" s="199"/>
      <c r="L79" s="55">
        <v>0.61596512900319267</v>
      </c>
      <c r="M79" s="55"/>
      <c r="N79" s="5" t="str">
        <f t="shared" si="10"/>
        <v>pLOF</v>
      </c>
      <c r="O79" s="5"/>
      <c r="P79" s="56"/>
      <c r="Q79" s="117"/>
      <c r="R79" s="26"/>
      <c r="S79" s="214"/>
      <c r="T79" s="55">
        <v>0.96317465274046887</v>
      </c>
      <c r="U79" s="137" t="str">
        <f t="shared" si="11"/>
        <v>N</v>
      </c>
      <c r="V79" s="206" t="str">
        <f t="shared" si="12"/>
        <v>-f R-</v>
      </c>
      <c r="W79" s="127" t="str">
        <f t="shared" si="7"/>
        <v xml:space="preserve"> </v>
      </c>
      <c r="X79" s="207" t="str">
        <f t="shared" si="8"/>
        <v xml:space="preserve"> </v>
      </c>
      <c r="Y79" s="208" t="str">
        <f t="shared" si="9"/>
        <v>A502V</v>
      </c>
      <c r="Z79" s="213" t="str">
        <f t="shared" si="6"/>
        <v xml:space="preserve"> </v>
      </c>
      <c r="AA79" s="217"/>
    </row>
    <row r="80" spans="1:27" s="154" customFormat="1" x14ac:dyDescent="0.2">
      <c r="A80" s="140">
        <v>543</v>
      </c>
      <c r="B80" s="140" t="s">
        <v>16</v>
      </c>
      <c r="C80" s="140" t="s">
        <v>67</v>
      </c>
      <c r="D80" s="140" t="s">
        <v>105</v>
      </c>
      <c r="E80" s="154" t="s">
        <v>98</v>
      </c>
      <c r="F80" s="140" t="s">
        <v>3</v>
      </c>
      <c r="G80" s="160"/>
      <c r="H80" s="140"/>
      <c r="I80" s="161"/>
      <c r="J80" s="199"/>
      <c r="L80" s="55">
        <v>0.45114246024651877</v>
      </c>
      <c r="M80" s="55"/>
      <c r="N80" s="5" t="str">
        <f t="shared" si="10"/>
        <v>pLOF</v>
      </c>
      <c r="O80" s="5"/>
      <c r="P80" s="56"/>
      <c r="Q80" s="117"/>
      <c r="R80" s="26"/>
      <c r="S80" s="214"/>
      <c r="T80" s="55">
        <v>0.55036432339880237</v>
      </c>
      <c r="U80" s="137" t="str">
        <f t="shared" si="11"/>
        <v>pLOF</v>
      </c>
      <c r="V80" s="206" t="str">
        <f t="shared" si="12"/>
        <v>none</v>
      </c>
      <c r="W80" s="127" t="str">
        <f t="shared" si="7"/>
        <v xml:space="preserve"> </v>
      </c>
      <c r="X80" s="207" t="str">
        <f t="shared" si="8"/>
        <v xml:space="preserve"> </v>
      </c>
      <c r="Y80" s="208" t="str">
        <f t="shared" si="9"/>
        <v xml:space="preserve"> </v>
      </c>
      <c r="Z80" s="213" t="str">
        <f t="shared" si="6"/>
        <v>V543M</v>
      </c>
      <c r="AA80" s="217"/>
    </row>
    <row r="81" spans="1:27" s="154" customFormat="1" x14ac:dyDescent="0.2">
      <c r="A81" s="140">
        <v>560</v>
      </c>
      <c r="B81" s="140" t="s">
        <v>33</v>
      </c>
      <c r="C81" s="140" t="s">
        <v>36</v>
      </c>
      <c r="D81" s="140" t="s">
        <v>106</v>
      </c>
      <c r="E81" s="154" t="s">
        <v>98</v>
      </c>
      <c r="F81" s="140" t="s">
        <v>133</v>
      </c>
      <c r="G81" s="160"/>
      <c r="H81" s="140"/>
      <c r="I81" s="161"/>
      <c r="J81" s="199"/>
      <c r="L81" s="55">
        <v>0.47880524293132048</v>
      </c>
      <c r="M81" s="55"/>
      <c r="N81" s="5" t="str">
        <f t="shared" si="10"/>
        <v>pLOF</v>
      </c>
      <c r="O81" s="5"/>
      <c r="P81" s="56"/>
      <c r="Q81" s="117"/>
      <c r="R81" s="26"/>
      <c r="S81" s="214"/>
      <c r="T81" s="55">
        <v>0.4269352133755856</v>
      </c>
      <c r="U81" s="137" t="str">
        <f t="shared" si="11"/>
        <v>pLOF</v>
      </c>
      <c r="V81" s="206" t="str">
        <f t="shared" si="12"/>
        <v>none</v>
      </c>
      <c r="W81" s="127" t="str">
        <f t="shared" si="7"/>
        <v xml:space="preserve"> </v>
      </c>
      <c r="X81" s="207" t="str">
        <f t="shared" si="8"/>
        <v xml:space="preserve"> </v>
      </c>
      <c r="Y81" s="208" t="str">
        <f t="shared" si="9"/>
        <v xml:space="preserve"> </v>
      </c>
      <c r="Z81" s="213" t="str">
        <f t="shared" si="6"/>
        <v>R560W</v>
      </c>
      <c r="AA81" s="217"/>
    </row>
    <row r="82" spans="1:27" s="154" customFormat="1" x14ac:dyDescent="0.2">
      <c r="A82" s="140">
        <v>567</v>
      </c>
      <c r="B82" s="140" t="s">
        <v>16</v>
      </c>
      <c r="C82" s="140" t="s">
        <v>39</v>
      </c>
      <c r="D82" s="140" t="s">
        <v>107</v>
      </c>
      <c r="E82" s="154" t="s">
        <v>98</v>
      </c>
      <c r="F82" s="140" t="s">
        <v>133</v>
      </c>
      <c r="G82" s="160"/>
      <c r="H82" s="140"/>
      <c r="I82" s="161"/>
      <c r="J82" s="199"/>
      <c r="L82" s="55">
        <v>0.33144448886799183</v>
      </c>
      <c r="M82" s="55"/>
      <c r="N82" s="5" t="str">
        <f t="shared" si="10"/>
        <v>pLOF</v>
      </c>
      <c r="O82" s="5"/>
      <c r="P82" s="56"/>
      <c r="Q82" s="117"/>
      <c r="R82" s="26"/>
      <c r="S82" s="214"/>
      <c r="T82" s="55">
        <v>0.71661832562539363</v>
      </c>
      <c r="U82" s="137" t="str">
        <f t="shared" si="11"/>
        <v>pLOF</v>
      </c>
      <c r="V82" s="206" t="str">
        <f t="shared" si="12"/>
        <v>none</v>
      </c>
      <c r="W82" s="127" t="str">
        <f t="shared" si="7"/>
        <v xml:space="preserve"> </v>
      </c>
      <c r="X82" s="207" t="str">
        <f t="shared" si="8"/>
        <v xml:space="preserve"> </v>
      </c>
      <c r="Y82" s="208" t="str">
        <f t="shared" si="9"/>
        <v xml:space="preserve"> </v>
      </c>
      <c r="Z82" s="213" t="str">
        <f t="shared" si="6"/>
        <v>V567D</v>
      </c>
      <c r="AA82" s="217"/>
    </row>
    <row r="83" spans="1:27" s="154" customFormat="1" x14ac:dyDescent="0.2">
      <c r="A83" s="140">
        <v>578</v>
      </c>
      <c r="B83" s="140" t="s">
        <v>67</v>
      </c>
      <c r="C83" s="140" t="s">
        <v>16</v>
      </c>
      <c r="D83" s="140" t="s">
        <v>108</v>
      </c>
      <c r="E83" s="154" t="s">
        <v>98</v>
      </c>
      <c r="F83" s="140" t="s">
        <v>3</v>
      </c>
      <c r="G83" s="160"/>
      <c r="H83" s="140"/>
      <c r="I83" s="161"/>
      <c r="J83" s="199"/>
      <c r="L83" s="55">
        <v>0.47850191813867182</v>
      </c>
      <c r="M83" s="55"/>
      <c r="N83" s="5" t="str">
        <f t="shared" si="10"/>
        <v>pLOF</v>
      </c>
      <c r="O83" s="5"/>
      <c r="P83" s="56"/>
      <c r="Q83" s="117"/>
      <c r="R83" s="26"/>
      <c r="S83" s="214"/>
      <c r="T83" s="55">
        <v>0.7274853668186203</v>
      </c>
      <c r="U83" s="137" t="str">
        <f t="shared" si="11"/>
        <v>pLOF</v>
      </c>
      <c r="V83" s="206" t="str">
        <f t="shared" si="12"/>
        <v>none</v>
      </c>
      <c r="W83" s="127" t="str">
        <f t="shared" si="7"/>
        <v xml:space="preserve"> </v>
      </c>
      <c r="X83" s="207" t="str">
        <f t="shared" si="8"/>
        <v xml:space="preserve"> </v>
      </c>
      <c r="Y83" s="208" t="str">
        <f t="shared" si="9"/>
        <v xml:space="preserve"> </v>
      </c>
      <c r="Z83" s="213" t="str">
        <f t="shared" si="6"/>
        <v>M578V</v>
      </c>
      <c r="AA83" s="217"/>
    </row>
    <row r="84" spans="1:27" s="154" customFormat="1" x14ac:dyDescent="0.2">
      <c r="A84" s="140">
        <v>581</v>
      </c>
      <c r="B84" s="140" t="s">
        <v>33</v>
      </c>
      <c r="C84" s="140" t="s">
        <v>34</v>
      </c>
      <c r="D84" s="140" t="s">
        <v>109</v>
      </c>
      <c r="E84" s="154" t="s">
        <v>98</v>
      </c>
      <c r="F84" s="140" t="s">
        <v>133</v>
      </c>
      <c r="G84" s="160"/>
      <c r="H84" s="140"/>
      <c r="I84" s="161"/>
      <c r="J84" s="199"/>
      <c r="L84" s="55">
        <v>0.27191663405023397</v>
      </c>
      <c r="M84" s="55"/>
      <c r="N84" s="5" t="str">
        <f t="shared" si="10"/>
        <v>pLOF</v>
      </c>
      <c r="O84" s="5"/>
      <c r="P84" s="56"/>
      <c r="Q84" s="117"/>
      <c r="R84" s="26"/>
      <c r="S84" s="214"/>
      <c r="T84" s="55">
        <v>0.46714634036284175</v>
      </c>
      <c r="U84" s="137" t="str">
        <f t="shared" si="11"/>
        <v>pLOF</v>
      </c>
      <c r="V84" s="206" t="str">
        <f t="shared" si="12"/>
        <v>none</v>
      </c>
      <c r="W84" s="127" t="str">
        <f t="shared" si="7"/>
        <v xml:space="preserve"> </v>
      </c>
      <c r="X84" s="207" t="str">
        <f t="shared" si="8"/>
        <v xml:space="preserve"> </v>
      </c>
      <c r="Y84" s="208" t="str">
        <f t="shared" si="9"/>
        <v xml:space="preserve"> </v>
      </c>
      <c r="Z84" s="213" t="str">
        <f t="shared" si="6"/>
        <v>R581Q</v>
      </c>
      <c r="AA84" s="217"/>
    </row>
    <row r="85" spans="1:27" x14ac:dyDescent="0.2">
      <c r="A85" s="140">
        <v>586</v>
      </c>
      <c r="B85" s="140" t="s">
        <v>34</v>
      </c>
      <c r="C85" s="140" t="s">
        <v>18</v>
      </c>
      <c r="D85" s="140" t="s">
        <v>110</v>
      </c>
      <c r="E85" s="154" t="s">
        <v>98</v>
      </c>
      <c r="F85" s="140" t="s">
        <v>137</v>
      </c>
      <c r="G85" s="160"/>
      <c r="H85" s="140"/>
      <c r="I85" s="161"/>
      <c r="J85" s="199"/>
      <c r="L85" s="55">
        <v>0.41281028631773231</v>
      </c>
      <c r="M85" s="55"/>
      <c r="N85" s="5" t="str">
        <f t="shared" si="10"/>
        <v>pLOF</v>
      </c>
      <c r="O85" s="5"/>
      <c r="P85" s="56"/>
      <c r="Q85" s="117"/>
      <c r="R85" s="26"/>
      <c r="S85" s="93"/>
      <c r="T85" s="55">
        <v>1.4436076019303072</v>
      </c>
      <c r="U85" s="137" t="str">
        <f t="shared" si="11"/>
        <v>N</v>
      </c>
      <c r="V85" s="206" t="str">
        <f t="shared" si="12"/>
        <v>-f R-</v>
      </c>
      <c r="W85" s="127" t="str">
        <f t="shared" si="7"/>
        <v xml:space="preserve"> </v>
      </c>
      <c r="X85" s="207" t="str">
        <f t="shared" si="8"/>
        <v xml:space="preserve"> </v>
      </c>
      <c r="Y85" s="208" t="str">
        <f t="shared" si="9"/>
        <v>Q586P</v>
      </c>
      <c r="Z85" s="213" t="str">
        <f t="shared" si="6"/>
        <v xml:space="preserve"> </v>
      </c>
      <c r="AA85" s="217"/>
    </row>
    <row r="86" spans="1:27" s="154" customFormat="1" x14ac:dyDescent="0.2">
      <c r="A86" s="140">
        <v>588</v>
      </c>
      <c r="B86" s="140" t="s">
        <v>33</v>
      </c>
      <c r="C86" s="140" t="s">
        <v>25</v>
      </c>
      <c r="D86" s="140" t="s">
        <v>111</v>
      </c>
      <c r="E86" s="154" t="s">
        <v>98</v>
      </c>
      <c r="F86" s="140" t="s">
        <v>3</v>
      </c>
      <c r="G86" s="160"/>
      <c r="H86" s="140"/>
      <c r="I86" s="161"/>
      <c r="J86" s="199"/>
      <c r="L86" s="55">
        <v>0.28980614750405564</v>
      </c>
      <c r="M86" s="55"/>
      <c r="N86" s="5" t="str">
        <f t="shared" si="10"/>
        <v>pLOF</v>
      </c>
      <c r="O86" s="5"/>
      <c r="P86" s="56"/>
      <c r="Q86" s="117"/>
      <c r="R86" s="26"/>
      <c r="S86" s="214"/>
      <c r="T86" s="55">
        <v>0.43729653128618062</v>
      </c>
      <c r="U86" s="137" t="str">
        <f t="shared" si="11"/>
        <v>pLOF</v>
      </c>
      <c r="V86" s="206" t="str">
        <f t="shared" si="12"/>
        <v>none</v>
      </c>
      <c r="W86" s="127" t="str">
        <f t="shared" si="7"/>
        <v xml:space="preserve"> </v>
      </c>
      <c r="X86" s="207" t="str">
        <f t="shared" si="8"/>
        <v xml:space="preserve"> </v>
      </c>
      <c r="Y86" s="208" t="str">
        <f t="shared" si="9"/>
        <v xml:space="preserve"> </v>
      </c>
      <c r="Z86" s="213" t="str">
        <f t="shared" si="6"/>
        <v>R588S</v>
      </c>
      <c r="AA86" s="217"/>
    </row>
    <row r="87" spans="1:27" s="154" customFormat="1" x14ac:dyDescent="0.2">
      <c r="A87" s="140">
        <v>604</v>
      </c>
      <c r="B87" s="140" t="s">
        <v>33</v>
      </c>
      <c r="C87" s="140" t="s">
        <v>44</v>
      </c>
      <c r="D87" s="140" t="s">
        <v>112</v>
      </c>
      <c r="E87" s="154" t="s">
        <v>98</v>
      </c>
      <c r="F87" s="140" t="s">
        <v>1</v>
      </c>
      <c r="G87" s="160"/>
      <c r="H87" s="140"/>
      <c r="I87" s="161"/>
      <c r="J87" s="199"/>
      <c r="L87" s="55">
        <v>0.5214428023229235</v>
      </c>
      <c r="M87" s="55"/>
      <c r="N87" s="5" t="str">
        <f t="shared" si="10"/>
        <v>pLOF</v>
      </c>
      <c r="O87" s="5"/>
      <c r="P87" s="56"/>
      <c r="Q87" s="117"/>
      <c r="R87" s="26"/>
      <c r="S87" s="214"/>
      <c r="T87" s="55">
        <v>1.2502295702475119</v>
      </c>
      <c r="U87" s="137" t="str">
        <f t="shared" si="11"/>
        <v>N</v>
      </c>
      <c r="V87" s="206" t="str">
        <f t="shared" si="12"/>
        <v>-f R-</v>
      </c>
      <c r="W87" s="127" t="str">
        <f t="shared" si="7"/>
        <v xml:space="preserve"> </v>
      </c>
      <c r="X87" s="207" t="str">
        <f t="shared" si="8"/>
        <v xml:space="preserve"> </v>
      </c>
      <c r="Y87" s="208" t="str">
        <f t="shared" si="9"/>
        <v>R604C</v>
      </c>
      <c r="Z87" s="213" t="str">
        <f t="shared" si="6"/>
        <v xml:space="preserve"> </v>
      </c>
      <c r="AA87" s="217"/>
    </row>
    <row r="88" spans="1:27" s="154" customFormat="1" x14ac:dyDescent="0.2">
      <c r="A88" s="140">
        <v>605</v>
      </c>
      <c r="B88" s="140" t="s">
        <v>66</v>
      </c>
      <c r="C88" s="140" t="s">
        <v>25</v>
      </c>
      <c r="D88" s="140" t="s">
        <v>113</v>
      </c>
      <c r="E88" s="154" t="s">
        <v>98</v>
      </c>
      <c r="F88" s="140" t="s">
        <v>1</v>
      </c>
      <c r="G88" s="160"/>
      <c r="H88" s="140"/>
      <c r="I88" s="161"/>
      <c r="J88" s="199"/>
      <c r="L88" s="55">
        <v>1.2809613541766762</v>
      </c>
      <c r="M88" s="55"/>
      <c r="N88" s="5" t="str">
        <f t="shared" si="10"/>
        <v>N</v>
      </c>
      <c r="O88" s="5"/>
      <c r="P88" s="56"/>
      <c r="Q88" s="113"/>
      <c r="R88" s="26"/>
      <c r="S88" s="214"/>
      <c r="T88" s="55">
        <v>0.91015945274125487</v>
      </c>
      <c r="U88" s="137" t="str">
        <f t="shared" si="11"/>
        <v>N</v>
      </c>
      <c r="V88" s="206" t="str">
        <f t="shared" si="12"/>
        <v>none</v>
      </c>
      <c r="W88" s="127" t="str">
        <f t="shared" si="7"/>
        <v xml:space="preserve"> </v>
      </c>
      <c r="X88" s="207" t="str">
        <f t="shared" si="8"/>
        <v xml:space="preserve"> </v>
      </c>
      <c r="Y88" s="208" t="str">
        <f t="shared" si="9"/>
        <v xml:space="preserve"> </v>
      </c>
      <c r="Z88" s="213" t="str">
        <f t="shared" si="6"/>
        <v>T605S</v>
      </c>
      <c r="AA88" s="217"/>
    </row>
    <row r="89" spans="1:27" s="154" customFormat="1" x14ac:dyDescent="0.2">
      <c r="A89" s="140">
        <v>637</v>
      </c>
      <c r="B89" s="140" t="s">
        <v>17</v>
      </c>
      <c r="C89" s="140" t="s">
        <v>33</v>
      </c>
      <c r="D89" s="140" t="s">
        <v>114</v>
      </c>
      <c r="E89" s="154" t="s">
        <v>98</v>
      </c>
      <c r="F89" s="140" t="s">
        <v>3</v>
      </c>
      <c r="G89" s="160"/>
      <c r="H89" s="140"/>
      <c r="I89" s="161"/>
      <c r="J89" s="199"/>
      <c r="L89" s="55">
        <v>0.2500901044456868</v>
      </c>
      <c r="M89" s="55"/>
      <c r="N89" s="5" t="str">
        <f t="shared" ref="N89:N96" si="13">IF($L89&lt;=$N$16,"LOF",IF($L89&lt;=$N$17,"pLOF",IF($L89&lt;=$N$19,"N",IF($L89&gt;=$N$19,"GOF",""))))</f>
        <v>LOF</v>
      </c>
      <c r="O89" s="5"/>
      <c r="P89" s="56"/>
      <c r="Q89" s="113"/>
      <c r="R89" s="26"/>
      <c r="S89" s="214"/>
      <c r="T89" s="55">
        <v>0.42144600427921414</v>
      </c>
      <c r="U89" s="137" t="str">
        <f t="shared" ref="U89:U96" si="14">IF($T89&lt;=$N$16,"LOF",IF($T89&lt;=$N$17,"pLOF",IF($T89&lt;=$N$19,"N",IF($T89&gt;=$N$19,"GOF",""))))</f>
        <v>pLOF</v>
      </c>
      <c r="V89" s="206" t="str">
        <f t="shared" ref="V89:V96" si="15">IF(AND(L89&lt;$N$16,T89&lt;$W$16),"-D N-",IF(AND(L89&lt;$N$16,T89&lt;$W$17),"-p R-",IF(AND(L89&lt;$N$16,T89&gt;$W$17),"-f R-",IF(AND(L89&lt;$N$17,T89&gt;$W$17),"-f R-",IF(AND(L89&gt;$N$19,T89&lt;$N$19),"-f R-",IF(N89=U89,"none",""))))))</f>
        <v>-p R-</v>
      </c>
      <c r="W89" s="127" t="str">
        <f t="shared" si="7"/>
        <v xml:space="preserve"> </v>
      </c>
      <c r="X89" s="207" t="str">
        <f t="shared" si="8"/>
        <v>L637R</v>
      </c>
      <c r="Y89" s="208" t="str">
        <f t="shared" si="9"/>
        <v xml:space="preserve"> </v>
      </c>
      <c r="Z89" s="213" t="str">
        <f t="shared" si="6"/>
        <v xml:space="preserve"> </v>
      </c>
      <c r="AA89" s="217"/>
    </row>
    <row r="90" spans="1:27" s="154" customFormat="1" x14ac:dyDescent="0.2">
      <c r="A90" s="140">
        <v>701</v>
      </c>
      <c r="B90" s="140" t="s">
        <v>22</v>
      </c>
      <c r="C90" s="140"/>
      <c r="D90" s="140" t="s">
        <v>132</v>
      </c>
      <c r="E90" s="154" t="s">
        <v>98</v>
      </c>
      <c r="F90" s="140" t="s">
        <v>1</v>
      </c>
      <c r="G90" s="160"/>
      <c r="H90" s="140"/>
      <c r="I90" s="161"/>
      <c r="J90" s="199"/>
      <c r="L90" s="55">
        <v>0.60934664064797017</v>
      </c>
      <c r="M90" s="55"/>
      <c r="N90" s="5" t="str">
        <f t="shared" si="13"/>
        <v>pLOF</v>
      </c>
      <c r="O90" s="5"/>
      <c r="P90" s="56"/>
      <c r="Q90" s="117"/>
      <c r="R90" s="26"/>
      <c r="S90" s="214"/>
      <c r="T90" s="55">
        <v>1.480837644322377</v>
      </c>
      <c r="U90" s="137" t="str">
        <f t="shared" si="14"/>
        <v>N</v>
      </c>
      <c r="V90" s="206" t="str">
        <f t="shared" si="15"/>
        <v>-f R-</v>
      </c>
      <c r="W90" s="127" t="str">
        <f t="shared" si="7"/>
        <v xml:space="preserve"> </v>
      </c>
      <c r="X90" s="207" t="str">
        <f t="shared" si="8"/>
        <v xml:space="preserve"> </v>
      </c>
      <c r="Y90" s="208" t="str">
        <f t="shared" si="9"/>
        <v>F701del</v>
      </c>
      <c r="Z90" s="213" t="str">
        <f t="shared" ref="Z90:Z96" si="16">+IF(V90="none",D90," ")</f>
        <v xml:space="preserve"> </v>
      </c>
      <c r="AA90" s="217"/>
    </row>
    <row r="91" spans="1:27" s="154" customFormat="1" x14ac:dyDescent="0.2">
      <c r="A91" s="140">
        <v>737</v>
      </c>
      <c r="B91" s="140" t="s">
        <v>53</v>
      </c>
      <c r="C91" s="140" t="s">
        <v>25</v>
      </c>
      <c r="D91" s="140" t="s">
        <v>115</v>
      </c>
      <c r="E91" s="154" t="s">
        <v>98</v>
      </c>
      <c r="F91" s="140" t="s">
        <v>1</v>
      </c>
      <c r="G91" s="160"/>
      <c r="H91" s="140"/>
      <c r="I91" s="161"/>
      <c r="J91" s="199"/>
      <c r="L91" s="55">
        <v>0.68473671513464573</v>
      </c>
      <c r="M91" s="55"/>
      <c r="N91" s="5" t="str">
        <f t="shared" si="13"/>
        <v>pLOF</v>
      </c>
      <c r="O91" s="5"/>
      <c r="P91" s="56"/>
      <c r="Q91" s="117"/>
      <c r="R91" s="26"/>
      <c r="S91" s="214"/>
      <c r="T91" s="55">
        <v>1.155178365813575</v>
      </c>
      <c r="U91" s="137" t="str">
        <f t="shared" si="14"/>
        <v>N</v>
      </c>
      <c r="V91" s="206" t="str">
        <f t="shared" si="15"/>
        <v>-f R-</v>
      </c>
      <c r="W91" s="127" t="str">
        <f t="shared" si="7"/>
        <v xml:space="preserve"> </v>
      </c>
      <c r="X91" s="207" t="str">
        <f t="shared" si="8"/>
        <v xml:space="preserve"> </v>
      </c>
      <c r="Y91" s="208" t="str">
        <f t="shared" si="9"/>
        <v>G737S</v>
      </c>
      <c r="Z91" s="213" t="str">
        <f t="shared" si="16"/>
        <v xml:space="preserve"> </v>
      </c>
      <c r="AA91" s="217"/>
    </row>
    <row r="92" spans="1:27" s="154" customFormat="1" x14ac:dyDescent="0.2">
      <c r="A92" s="140">
        <v>751</v>
      </c>
      <c r="B92" s="140" t="s">
        <v>25</v>
      </c>
      <c r="C92" s="140" t="s">
        <v>17</v>
      </c>
      <c r="D92" s="140" t="s">
        <v>116</v>
      </c>
      <c r="E92" s="154" t="s">
        <v>98</v>
      </c>
      <c r="F92" s="140" t="s">
        <v>1</v>
      </c>
      <c r="G92" s="160"/>
      <c r="H92" s="140"/>
      <c r="I92" s="161"/>
      <c r="J92" s="199"/>
      <c r="L92" s="55">
        <v>0.72801629907859189</v>
      </c>
      <c r="M92" s="55"/>
      <c r="N92" s="5" t="str">
        <f t="shared" si="13"/>
        <v>pLOF</v>
      </c>
      <c r="O92" s="5"/>
      <c r="P92" s="56"/>
      <c r="Q92" s="113"/>
      <c r="R92" s="26"/>
      <c r="S92" s="214"/>
      <c r="T92" s="55">
        <v>1.7616397713196166</v>
      </c>
      <c r="U92" s="137" t="str">
        <f t="shared" si="14"/>
        <v>GOF</v>
      </c>
      <c r="V92" s="206" t="str">
        <f t="shared" si="15"/>
        <v>-f R-</v>
      </c>
      <c r="W92" s="127" t="str">
        <f t="shared" si="7"/>
        <v xml:space="preserve"> </v>
      </c>
      <c r="X92" s="207" t="str">
        <f t="shared" si="8"/>
        <v xml:space="preserve"> </v>
      </c>
      <c r="Y92" s="208" t="str">
        <f t="shared" si="9"/>
        <v>S751L</v>
      </c>
      <c r="Z92" s="213" t="str">
        <f t="shared" si="16"/>
        <v xml:space="preserve"> </v>
      </c>
      <c r="AA92" s="217"/>
    </row>
    <row r="93" spans="1:27" s="154" customFormat="1" x14ac:dyDescent="0.2">
      <c r="A93" s="140">
        <v>760</v>
      </c>
      <c r="B93" s="140" t="s">
        <v>33</v>
      </c>
      <c r="C93" s="140" t="s">
        <v>46</v>
      </c>
      <c r="D93" s="140" t="s">
        <v>117</v>
      </c>
      <c r="E93" s="154" t="s">
        <v>98</v>
      </c>
      <c r="F93" s="140" t="s">
        <v>1</v>
      </c>
      <c r="G93" s="160"/>
      <c r="H93" s="140"/>
      <c r="I93" s="161"/>
      <c r="J93" s="199"/>
      <c r="L93" s="55">
        <v>1.2612413272056264</v>
      </c>
      <c r="M93" s="55"/>
      <c r="N93" s="5" t="str">
        <f t="shared" si="13"/>
        <v>N</v>
      </c>
      <c r="O93" s="5"/>
      <c r="P93" s="56"/>
      <c r="Q93" s="117"/>
      <c r="R93" s="26"/>
      <c r="S93" s="214"/>
      <c r="T93" s="55">
        <v>0.87930998647797542</v>
      </c>
      <c r="U93" s="137" t="str">
        <f t="shared" si="14"/>
        <v>N</v>
      </c>
      <c r="V93" s="206" t="str">
        <f t="shared" si="15"/>
        <v>none</v>
      </c>
      <c r="W93" s="127" t="str">
        <f t="shared" ref="W93:W96" si="17">+IF(V93="-D N-",D93," ")</f>
        <v xml:space="preserve"> </v>
      </c>
      <c r="X93" s="207" t="str">
        <f t="shared" ref="X93:X96" si="18">+IF(V93="-p R-",D93," ")</f>
        <v xml:space="preserve"> </v>
      </c>
      <c r="Y93" s="208" t="str">
        <f t="shared" si="9"/>
        <v xml:space="preserve"> </v>
      </c>
      <c r="Z93" s="213" t="str">
        <f t="shared" si="16"/>
        <v>R760H</v>
      </c>
      <c r="AA93" s="217"/>
    </row>
    <row r="94" spans="1:27" s="154" customFormat="1" x14ac:dyDescent="0.2">
      <c r="A94" s="140">
        <v>771</v>
      </c>
      <c r="B94" s="140" t="s">
        <v>66</v>
      </c>
      <c r="C94" s="140" t="s">
        <v>27</v>
      </c>
      <c r="D94" s="140" t="s">
        <v>118</v>
      </c>
      <c r="E94" s="154" t="s">
        <v>98</v>
      </c>
      <c r="F94" s="140" t="s">
        <v>1</v>
      </c>
      <c r="G94" s="160"/>
      <c r="H94" s="140"/>
      <c r="I94" s="161"/>
      <c r="J94" s="199"/>
      <c r="L94" s="55">
        <v>0.38246295365784766</v>
      </c>
      <c r="M94" s="55"/>
      <c r="N94" s="5" t="str">
        <f t="shared" si="13"/>
        <v>pLOF</v>
      </c>
      <c r="O94" s="5"/>
      <c r="P94" s="56"/>
      <c r="Q94" s="117"/>
      <c r="R94" s="26"/>
      <c r="S94" s="214"/>
      <c r="T94" s="55">
        <v>0.90297411417668105</v>
      </c>
      <c r="U94" s="137" t="str">
        <f t="shared" si="14"/>
        <v>N</v>
      </c>
      <c r="V94" s="206" t="str">
        <f t="shared" si="15"/>
        <v>-f R-</v>
      </c>
      <c r="W94" s="127" t="str">
        <f t="shared" si="17"/>
        <v xml:space="preserve"> </v>
      </c>
      <c r="X94" s="207" t="str">
        <f t="shared" si="18"/>
        <v xml:space="preserve"> </v>
      </c>
      <c r="Y94" s="208" t="str">
        <f t="shared" si="9"/>
        <v>T771I</v>
      </c>
      <c r="Z94" s="213" t="str">
        <f t="shared" si="16"/>
        <v xml:space="preserve"> </v>
      </c>
      <c r="AA94" s="217"/>
    </row>
    <row r="95" spans="1:27" s="154" customFormat="1" x14ac:dyDescent="0.2">
      <c r="A95" s="140">
        <v>780</v>
      </c>
      <c r="B95" s="140" t="s">
        <v>84</v>
      </c>
      <c r="C95" s="140" t="s">
        <v>66</v>
      </c>
      <c r="D95" s="140" t="s">
        <v>119</v>
      </c>
      <c r="E95" s="154" t="s">
        <v>98</v>
      </c>
      <c r="F95" s="140" t="s">
        <v>1</v>
      </c>
      <c r="G95" s="160"/>
      <c r="H95" s="140"/>
      <c r="I95" s="161"/>
      <c r="J95" s="199"/>
      <c r="L95" s="55">
        <v>0.62082574103575772</v>
      </c>
      <c r="M95" s="55"/>
      <c r="N95" s="5" t="str">
        <f t="shared" si="13"/>
        <v>pLOF</v>
      </c>
      <c r="O95" s="5"/>
      <c r="P95" s="56"/>
      <c r="Q95" s="117"/>
      <c r="R95" s="26"/>
      <c r="S95" s="214"/>
      <c r="T95" s="55">
        <v>0.77541965573725324</v>
      </c>
      <c r="U95" s="137" t="str">
        <f t="shared" si="14"/>
        <v>N</v>
      </c>
      <c r="V95" s="206" t="str">
        <f t="shared" si="15"/>
        <v>-f R-</v>
      </c>
      <c r="W95" s="127" t="str">
        <f t="shared" si="17"/>
        <v xml:space="preserve"> </v>
      </c>
      <c r="X95" s="207" t="str">
        <f t="shared" si="18"/>
        <v xml:space="preserve"> </v>
      </c>
      <c r="Y95" s="208" t="str">
        <f t="shared" si="9"/>
        <v>N780T</v>
      </c>
      <c r="Z95" s="213" t="str">
        <f t="shared" si="16"/>
        <v xml:space="preserve"> </v>
      </c>
      <c r="AA95" s="217"/>
    </row>
    <row r="96" spans="1:27" s="154" customFormat="1" x14ac:dyDescent="0.2">
      <c r="A96" s="140">
        <v>854</v>
      </c>
      <c r="B96" s="140" t="s">
        <v>33</v>
      </c>
      <c r="C96" s="140" t="s">
        <v>44</v>
      </c>
      <c r="D96" s="140" t="s">
        <v>120</v>
      </c>
      <c r="E96" s="154" t="s">
        <v>98</v>
      </c>
      <c r="F96" s="140" t="s">
        <v>1</v>
      </c>
      <c r="G96" s="160"/>
      <c r="H96" s="140"/>
      <c r="I96" s="161"/>
      <c r="J96" s="199"/>
      <c r="L96" s="55">
        <v>0.83141356081944928</v>
      </c>
      <c r="M96" s="55"/>
      <c r="N96" s="5" t="str">
        <f t="shared" si="13"/>
        <v>N</v>
      </c>
      <c r="O96" s="5"/>
      <c r="P96" s="56"/>
      <c r="Q96" s="117"/>
      <c r="R96" s="26"/>
      <c r="S96" s="214"/>
      <c r="T96" s="55">
        <v>0.82013795127503819</v>
      </c>
      <c r="U96" s="137" t="str">
        <f t="shared" si="14"/>
        <v>N</v>
      </c>
      <c r="V96" s="206" t="str">
        <f t="shared" si="15"/>
        <v>none</v>
      </c>
      <c r="W96" s="127" t="str">
        <f t="shared" si="17"/>
        <v xml:space="preserve"> </v>
      </c>
      <c r="X96" s="207" t="str">
        <f t="shared" si="18"/>
        <v xml:space="preserve"> </v>
      </c>
      <c r="Y96" s="208" t="str">
        <f t="shared" si="9"/>
        <v xml:space="preserve"> </v>
      </c>
      <c r="Z96" s="213" t="str">
        <f t="shared" si="16"/>
        <v>R854C</v>
      </c>
      <c r="AA96" s="217"/>
    </row>
    <row r="97" spans="1:27" x14ac:dyDescent="0.2">
      <c r="L97" s="42"/>
      <c r="M97" s="215"/>
      <c r="N97" s="215"/>
      <c r="O97" s="215"/>
      <c r="P97" s="58"/>
      <c r="Q97" s="26"/>
      <c r="R97" s="1"/>
      <c r="S97" s="1"/>
      <c r="T97" s="42"/>
      <c r="V97" s="154"/>
      <c r="W97" s="1"/>
      <c r="X97" s="1"/>
      <c r="Y97" s="1"/>
      <c r="Z97" s="1"/>
      <c r="AA97" s="217"/>
    </row>
    <row r="98" spans="1:27" s="154" customFormat="1" x14ac:dyDescent="0.2">
      <c r="L98" s="26"/>
      <c r="M98" s="26"/>
      <c r="N98" s="26"/>
      <c r="O98" s="26"/>
      <c r="P98" s="58"/>
      <c r="Q98" s="26"/>
      <c r="R98" s="26"/>
      <c r="S98" s="26"/>
      <c r="T98" s="26"/>
    </row>
    <row r="99" spans="1:27" s="154" customFormat="1" x14ac:dyDescent="0.2">
      <c r="A99" s="140"/>
      <c r="B99" s="140"/>
      <c r="C99" s="140"/>
      <c r="D99" s="170"/>
      <c r="F99" s="170"/>
      <c r="G99" s="170"/>
      <c r="H99" s="170"/>
      <c r="I99" s="171"/>
      <c r="J99" s="171"/>
      <c r="L99" s="216"/>
      <c r="M99" s="215"/>
      <c r="N99" s="215"/>
      <c r="O99" s="215"/>
      <c r="P99" s="58"/>
      <c r="Q99" s="2"/>
      <c r="R99" s="26"/>
      <c r="S99" s="26"/>
      <c r="T99" s="216"/>
    </row>
    <row r="100" spans="1:27" s="154" customFormat="1" x14ac:dyDescent="0.2">
      <c r="A100" s="140"/>
      <c r="B100" s="140"/>
      <c r="C100" s="140"/>
      <c r="D100" s="140"/>
      <c r="H100" s="140"/>
      <c r="I100" s="169"/>
      <c r="J100" s="169"/>
      <c r="L100" s="215"/>
      <c r="M100" s="215"/>
      <c r="N100" s="215"/>
      <c r="O100" s="215"/>
      <c r="P100" s="58"/>
      <c r="Q100" s="2"/>
      <c r="R100" s="26"/>
      <c r="S100" s="26"/>
      <c r="T100" s="215"/>
    </row>
    <row r="101" spans="1:27" s="154" customFormat="1" x14ac:dyDescent="0.2">
      <c r="A101" s="140"/>
      <c r="B101" s="140"/>
      <c r="C101" s="140"/>
      <c r="D101" s="140"/>
      <c r="H101" s="140"/>
      <c r="I101" s="169"/>
      <c r="J101" s="169"/>
      <c r="L101" s="169"/>
      <c r="M101" s="169"/>
      <c r="N101" s="169"/>
      <c r="O101" s="169"/>
      <c r="P101" s="136"/>
      <c r="Q101" s="140"/>
      <c r="T101" s="169"/>
    </row>
    <row r="102" spans="1:27" s="154" customFormat="1" x14ac:dyDescent="0.2">
      <c r="A102" s="140"/>
      <c r="B102" s="140"/>
      <c r="C102" s="140"/>
      <c r="D102" s="140"/>
      <c r="H102" s="140"/>
      <c r="I102" s="169"/>
      <c r="J102" s="169"/>
      <c r="L102" s="169"/>
      <c r="M102" s="169"/>
      <c r="N102" s="169"/>
      <c r="O102" s="169"/>
      <c r="P102" s="136"/>
      <c r="Q102" s="140"/>
      <c r="T102" s="169"/>
    </row>
    <row r="103" spans="1:27" s="154" customFormat="1" x14ac:dyDescent="0.2">
      <c r="A103" s="140"/>
      <c r="B103" s="140"/>
      <c r="C103" s="140"/>
      <c r="D103" s="170"/>
      <c r="F103" s="140"/>
      <c r="G103" s="140"/>
      <c r="H103" s="170"/>
      <c r="I103" s="171"/>
      <c r="J103" s="171"/>
      <c r="L103" s="171"/>
      <c r="M103" s="169"/>
      <c r="N103" s="169"/>
      <c r="O103" s="169"/>
      <c r="P103" s="136"/>
      <c r="Q103" s="140"/>
      <c r="T103" s="171"/>
    </row>
    <row r="104" spans="1:27" s="154" customFormat="1" x14ac:dyDescent="0.2">
      <c r="A104" s="140"/>
      <c r="B104" s="140"/>
      <c r="C104" s="140"/>
      <c r="D104" s="140"/>
      <c r="F104" s="140"/>
      <c r="G104" s="140"/>
      <c r="H104" s="140"/>
      <c r="I104" s="169"/>
      <c r="J104" s="169"/>
      <c r="L104" s="163"/>
      <c r="P104" s="136"/>
      <c r="Q104" s="140"/>
      <c r="T104" s="163"/>
    </row>
    <row r="105" spans="1:27" s="154" customFormat="1" x14ac:dyDescent="0.2">
      <c r="A105" s="140"/>
      <c r="B105" s="140"/>
      <c r="C105" s="140"/>
      <c r="D105" s="140"/>
      <c r="F105" s="140"/>
      <c r="G105" s="140"/>
      <c r="H105" s="140"/>
      <c r="I105" s="169"/>
      <c r="J105" s="169"/>
      <c r="L105" s="171"/>
      <c r="M105" s="169"/>
      <c r="N105" s="169"/>
      <c r="O105" s="169"/>
      <c r="P105" s="136"/>
      <c r="Q105" s="140"/>
      <c r="T105" s="171"/>
    </row>
    <row r="106" spans="1:27" s="154" customFormat="1" x14ac:dyDescent="0.2">
      <c r="A106" s="140"/>
      <c r="B106" s="140"/>
      <c r="C106" s="140"/>
      <c r="D106" s="140"/>
      <c r="F106" s="170"/>
      <c r="G106" s="170"/>
      <c r="H106" s="140"/>
      <c r="I106" s="169"/>
      <c r="J106" s="169"/>
      <c r="L106" s="169"/>
      <c r="M106" s="169"/>
      <c r="N106" s="169"/>
      <c r="O106" s="169"/>
      <c r="P106" s="136"/>
      <c r="Q106" s="140"/>
      <c r="T106" s="169"/>
    </row>
    <row r="107" spans="1:27" s="154" customFormat="1" x14ac:dyDescent="0.2">
      <c r="A107" s="140"/>
      <c r="B107" s="140"/>
      <c r="C107" s="140"/>
      <c r="D107" s="140"/>
      <c r="F107" s="140"/>
      <c r="G107" s="140"/>
      <c r="H107" s="140"/>
      <c r="P107" s="136"/>
    </row>
    <row r="108" spans="1:27" s="154" customFormat="1" x14ac:dyDescent="0.2">
      <c r="A108" s="140"/>
      <c r="B108" s="140"/>
      <c r="C108" s="140"/>
      <c r="D108" s="140"/>
      <c r="F108" s="140"/>
      <c r="G108" s="140"/>
      <c r="H108" s="140"/>
      <c r="I108" s="171"/>
      <c r="J108" s="171"/>
      <c r="L108" s="171"/>
      <c r="P108" s="136"/>
      <c r="T108" s="171"/>
    </row>
    <row r="109" spans="1:27" s="154" customFormat="1" x14ac:dyDescent="0.2">
      <c r="C109" s="171"/>
      <c r="D109" s="140"/>
      <c r="F109" s="140"/>
      <c r="G109" s="140"/>
      <c r="H109" s="140"/>
      <c r="I109" s="169"/>
      <c r="J109" s="169"/>
      <c r="L109" s="169"/>
      <c r="M109" s="169"/>
      <c r="N109" s="169"/>
      <c r="O109" s="169"/>
      <c r="P109" s="136"/>
      <c r="Q109" s="169"/>
      <c r="T109" s="169"/>
    </row>
    <row r="110" spans="1:27" s="154" customFormat="1" x14ac:dyDescent="0.2">
      <c r="A110" s="140"/>
      <c r="B110" s="140"/>
      <c r="C110" s="140"/>
      <c r="D110" s="140"/>
      <c r="F110" s="140"/>
      <c r="G110" s="140"/>
      <c r="H110" s="140"/>
      <c r="I110" s="172"/>
      <c r="J110" s="172"/>
      <c r="L110" s="172"/>
      <c r="M110" s="172"/>
      <c r="N110" s="172"/>
      <c r="O110" s="172"/>
      <c r="P110" s="136"/>
      <c r="T110" s="172"/>
    </row>
    <row r="111" spans="1:27" s="154" customFormat="1" x14ac:dyDescent="0.2">
      <c r="A111" s="140"/>
      <c r="B111" s="140"/>
      <c r="C111" s="140"/>
      <c r="D111" s="140"/>
      <c r="F111" s="140"/>
      <c r="G111" s="140"/>
      <c r="H111" s="140"/>
      <c r="L111" s="169"/>
      <c r="M111" s="169"/>
      <c r="N111" s="169"/>
      <c r="O111" s="169"/>
      <c r="P111" s="136"/>
      <c r="Q111" s="169"/>
    </row>
    <row r="112" spans="1:27" s="154" customFormat="1" x14ac:dyDescent="0.2">
      <c r="A112" s="140"/>
      <c r="B112" s="140"/>
      <c r="C112" s="140"/>
      <c r="D112" s="140"/>
      <c r="F112" s="140"/>
      <c r="G112" s="140"/>
      <c r="H112" s="140"/>
      <c r="I112" s="169"/>
      <c r="J112" s="169"/>
      <c r="K112" s="169"/>
      <c r="L112" s="169"/>
      <c r="M112" s="169"/>
      <c r="N112" s="169"/>
      <c r="O112" s="169"/>
      <c r="P112" s="136"/>
      <c r="T112" s="169"/>
    </row>
    <row r="113" spans="1:20" s="154" customFormat="1" ht="15" customHeight="1" x14ac:dyDescent="0.2">
      <c r="A113" s="140"/>
      <c r="B113" s="140"/>
      <c r="C113" s="140"/>
      <c r="D113" s="140"/>
      <c r="F113" s="140"/>
      <c r="G113" s="140"/>
      <c r="H113" s="140"/>
      <c r="I113" s="169"/>
      <c r="J113" s="169"/>
      <c r="K113" s="169"/>
      <c r="L113" s="169"/>
      <c r="M113" s="169"/>
      <c r="N113" s="169"/>
      <c r="O113" s="169"/>
      <c r="P113" s="136"/>
      <c r="T113" s="169"/>
    </row>
    <row r="114" spans="1:20" s="154" customFormat="1" x14ac:dyDescent="0.2">
      <c r="A114" s="140"/>
      <c r="B114" s="140"/>
      <c r="C114" s="140"/>
      <c r="D114" s="140"/>
      <c r="F114" s="140"/>
      <c r="G114" s="140"/>
      <c r="H114" s="140"/>
      <c r="L114" s="173"/>
      <c r="M114" s="173"/>
      <c r="N114" s="173"/>
      <c r="O114" s="173"/>
      <c r="P114" s="136"/>
    </row>
    <row r="115" spans="1:20" s="154" customFormat="1" x14ac:dyDescent="0.2">
      <c r="A115" s="140"/>
      <c r="B115" s="140"/>
      <c r="C115" s="140"/>
      <c r="D115" s="140"/>
      <c r="F115" s="140"/>
      <c r="G115" s="140"/>
      <c r="H115" s="140"/>
      <c r="L115" s="169"/>
      <c r="M115" s="169"/>
      <c r="N115" s="169"/>
      <c r="O115" s="169"/>
      <c r="P115" s="136"/>
      <c r="Q115" s="169"/>
    </row>
    <row r="116" spans="1:20" s="154" customFormat="1" x14ac:dyDescent="0.2">
      <c r="A116" s="140"/>
      <c r="B116" s="140"/>
      <c r="C116" s="140"/>
      <c r="D116" s="140"/>
      <c r="F116" s="140"/>
      <c r="G116" s="140"/>
      <c r="H116" s="140"/>
      <c r="P116" s="136"/>
    </row>
    <row r="117" spans="1:20" s="154" customFormat="1" x14ac:dyDescent="0.2">
      <c r="A117" s="140"/>
      <c r="B117" s="140"/>
      <c r="C117" s="140"/>
      <c r="D117" s="140"/>
      <c r="F117" s="140"/>
      <c r="G117" s="140"/>
      <c r="H117" s="140"/>
      <c r="P117" s="136"/>
    </row>
    <row r="118" spans="1:20" s="154" customFormat="1" x14ac:dyDescent="0.2">
      <c r="A118" s="140"/>
      <c r="B118" s="140"/>
      <c r="C118" s="140"/>
      <c r="D118" s="140"/>
      <c r="F118" s="140"/>
      <c r="G118" s="140"/>
      <c r="H118" s="140"/>
      <c r="P118" s="136"/>
    </row>
    <row r="119" spans="1:20" s="154" customFormat="1" x14ac:dyDescent="0.2">
      <c r="A119" s="140"/>
      <c r="B119" s="140"/>
      <c r="C119" s="140"/>
      <c r="D119" s="140"/>
      <c r="F119" s="140"/>
      <c r="G119" s="140"/>
      <c r="H119" s="140"/>
      <c r="I119" s="169"/>
      <c r="J119" s="169"/>
      <c r="K119" s="169"/>
      <c r="L119" s="169"/>
      <c r="M119" s="169"/>
      <c r="N119" s="169"/>
      <c r="O119" s="169"/>
      <c r="P119" s="136"/>
      <c r="T119" s="169"/>
    </row>
    <row r="120" spans="1:20" s="154" customFormat="1" x14ac:dyDescent="0.2">
      <c r="A120" s="140"/>
      <c r="B120" s="140"/>
      <c r="C120" s="140"/>
      <c r="D120" s="140"/>
      <c r="F120" s="140"/>
      <c r="G120" s="140"/>
      <c r="H120" s="140"/>
      <c r="I120" s="169"/>
      <c r="J120" s="169"/>
      <c r="K120" s="169"/>
      <c r="L120" s="169"/>
      <c r="M120" s="169"/>
      <c r="N120" s="169"/>
      <c r="O120" s="169"/>
      <c r="P120" s="136"/>
      <c r="Q120" s="169"/>
      <c r="T120" s="169"/>
    </row>
    <row r="121" spans="1:20" s="154" customFormat="1" x14ac:dyDescent="0.2">
      <c r="A121" s="140"/>
      <c r="B121" s="140"/>
      <c r="C121" s="140"/>
      <c r="D121" s="140"/>
      <c r="F121" s="140"/>
      <c r="G121" s="140"/>
      <c r="H121" s="140"/>
      <c r="I121" s="169"/>
      <c r="J121" s="169"/>
      <c r="K121" s="169"/>
      <c r="L121" s="169"/>
      <c r="M121" s="169"/>
      <c r="N121" s="169"/>
      <c r="O121" s="169"/>
      <c r="P121" s="136"/>
      <c r="Q121" s="169"/>
      <c r="T121" s="169"/>
    </row>
    <row r="122" spans="1:20" s="154" customFormat="1" x14ac:dyDescent="0.2">
      <c r="A122" s="140"/>
      <c r="B122" s="140"/>
      <c r="C122" s="140"/>
      <c r="D122" s="140"/>
      <c r="F122" s="140"/>
      <c r="G122" s="140"/>
      <c r="H122" s="140"/>
      <c r="I122" s="169"/>
      <c r="J122" s="169"/>
      <c r="K122" s="169"/>
      <c r="L122" s="169"/>
      <c r="M122" s="169"/>
      <c r="N122" s="169"/>
      <c r="O122" s="169"/>
      <c r="P122" s="136"/>
      <c r="Q122" s="169"/>
      <c r="T122" s="169"/>
    </row>
    <row r="123" spans="1:20" s="154" customFormat="1" x14ac:dyDescent="0.2">
      <c r="A123" s="140"/>
      <c r="B123" s="140"/>
      <c r="C123" s="140"/>
      <c r="D123" s="140"/>
      <c r="F123" s="140"/>
      <c r="G123" s="140"/>
      <c r="H123" s="140"/>
      <c r="I123" s="169"/>
      <c r="J123" s="169"/>
      <c r="K123" s="169"/>
      <c r="L123" s="169"/>
      <c r="M123" s="169"/>
      <c r="N123" s="169"/>
      <c r="O123" s="169"/>
      <c r="P123" s="136"/>
      <c r="Q123" s="169"/>
      <c r="T123" s="169"/>
    </row>
    <row r="124" spans="1:20" s="154" customFormat="1" x14ac:dyDescent="0.2">
      <c r="A124" s="140"/>
      <c r="B124" s="140"/>
      <c r="C124" s="140"/>
      <c r="D124" s="140"/>
      <c r="F124" s="140"/>
      <c r="G124" s="140"/>
      <c r="H124" s="140"/>
      <c r="I124" s="169"/>
      <c r="J124" s="169"/>
      <c r="K124" s="169"/>
      <c r="L124" s="169"/>
      <c r="M124" s="169"/>
      <c r="N124" s="169"/>
      <c r="O124" s="169"/>
      <c r="P124" s="136"/>
      <c r="Q124" s="169"/>
      <c r="T124" s="169"/>
    </row>
    <row r="125" spans="1:20" s="154" customFormat="1" x14ac:dyDescent="0.2">
      <c r="A125" s="140"/>
      <c r="B125" s="140"/>
      <c r="C125" s="140"/>
      <c r="D125" s="140"/>
      <c r="F125" s="140"/>
      <c r="G125" s="140"/>
      <c r="H125" s="140"/>
      <c r="I125" s="169"/>
      <c r="J125" s="169"/>
      <c r="K125" s="169"/>
      <c r="L125" s="169"/>
      <c r="M125" s="169"/>
      <c r="N125" s="169"/>
      <c r="O125" s="169"/>
      <c r="P125" s="136"/>
      <c r="Q125" s="169"/>
      <c r="T125" s="169"/>
    </row>
    <row r="126" spans="1:20" s="154" customFormat="1" x14ac:dyDescent="0.2">
      <c r="A126" s="140"/>
      <c r="B126" s="140"/>
      <c r="C126" s="140"/>
      <c r="D126" s="140"/>
      <c r="F126" s="140"/>
      <c r="G126" s="140"/>
      <c r="H126" s="140"/>
      <c r="I126" s="169"/>
      <c r="J126" s="169"/>
      <c r="K126" s="169"/>
      <c r="L126" s="169"/>
      <c r="M126" s="169"/>
      <c r="N126" s="169"/>
      <c r="O126" s="169"/>
      <c r="P126" s="136"/>
      <c r="Q126" s="169"/>
      <c r="T126" s="169"/>
    </row>
    <row r="127" spans="1:20" s="154" customFormat="1" x14ac:dyDescent="0.2">
      <c r="A127" s="140"/>
      <c r="B127" s="140"/>
      <c r="C127" s="140"/>
      <c r="D127" s="140"/>
      <c r="F127" s="140"/>
      <c r="G127" s="140"/>
      <c r="H127" s="140"/>
      <c r="I127" s="169"/>
      <c r="J127" s="169"/>
      <c r="K127" s="169"/>
      <c r="L127" s="169"/>
      <c r="M127" s="169"/>
      <c r="N127" s="169"/>
      <c r="O127" s="169"/>
      <c r="P127" s="136"/>
      <c r="Q127" s="169"/>
      <c r="T127" s="169"/>
    </row>
    <row r="128" spans="1:20" s="154" customFormat="1" x14ac:dyDescent="0.2">
      <c r="A128" s="140"/>
      <c r="B128" s="140"/>
      <c r="C128" s="140"/>
      <c r="D128" s="140"/>
      <c r="F128" s="140"/>
      <c r="G128" s="140"/>
      <c r="H128" s="140"/>
      <c r="I128" s="169"/>
      <c r="J128" s="169"/>
      <c r="K128" s="169"/>
      <c r="L128" s="169"/>
      <c r="M128" s="169"/>
      <c r="N128" s="169"/>
      <c r="O128" s="169"/>
      <c r="P128" s="136"/>
      <c r="Q128" s="169"/>
      <c r="T128" s="169"/>
    </row>
    <row r="129" spans="1:17" s="154" customFormat="1" x14ac:dyDescent="0.2">
      <c r="A129" s="140"/>
      <c r="B129" s="140"/>
      <c r="C129" s="140"/>
      <c r="D129" s="140"/>
      <c r="F129" s="140"/>
      <c r="G129" s="140"/>
      <c r="H129" s="140"/>
      <c r="I129" s="169"/>
      <c r="J129" s="169"/>
      <c r="K129" s="169"/>
      <c r="L129" s="169"/>
      <c r="M129" s="169"/>
      <c r="N129" s="169"/>
      <c r="O129" s="169"/>
      <c r="P129" s="136"/>
      <c r="Q129" s="169"/>
    </row>
    <row r="130" spans="1:17" s="154" customFormat="1" x14ac:dyDescent="0.2">
      <c r="A130" s="140"/>
      <c r="B130" s="140"/>
      <c r="C130" s="140"/>
      <c r="D130" s="140"/>
      <c r="F130" s="140"/>
      <c r="G130" s="140"/>
      <c r="H130" s="140"/>
      <c r="I130" s="169"/>
      <c r="J130" s="169"/>
      <c r="K130" s="169"/>
      <c r="L130" s="169"/>
      <c r="M130" s="169"/>
      <c r="N130" s="169"/>
      <c r="O130" s="169"/>
      <c r="P130" s="136"/>
      <c r="Q130" s="169"/>
    </row>
    <row r="131" spans="1:17" s="154" customFormat="1" x14ac:dyDescent="0.2">
      <c r="A131" s="140"/>
      <c r="B131" s="140"/>
      <c r="C131" s="140"/>
      <c r="D131" s="140"/>
      <c r="F131" s="140"/>
      <c r="G131" s="140"/>
      <c r="H131" s="140"/>
      <c r="I131" s="169"/>
      <c r="J131" s="169"/>
      <c r="K131" s="169"/>
      <c r="L131" s="169"/>
      <c r="M131" s="169"/>
      <c r="N131" s="169"/>
      <c r="O131" s="169"/>
      <c r="P131" s="136"/>
    </row>
    <row r="132" spans="1:17" s="154" customFormat="1" x14ac:dyDescent="0.2">
      <c r="A132" s="140"/>
      <c r="B132" s="140"/>
      <c r="C132" s="140"/>
      <c r="D132" s="140"/>
      <c r="F132" s="140"/>
      <c r="G132" s="140"/>
      <c r="H132" s="140"/>
      <c r="I132" s="169"/>
      <c r="J132" s="169"/>
      <c r="K132" s="169"/>
      <c r="L132" s="169"/>
      <c r="M132" s="169"/>
      <c r="N132" s="169"/>
      <c r="O132" s="169"/>
      <c r="P132" s="136"/>
      <c r="Q132" s="169"/>
    </row>
    <row r="133" spans="1:17" s="154" customFormat="1" x14ac:dyDescent="0.2">
      <c r="A133" s="140"/>
      <c r="B133" s="140"/>
      <c r="C133" s="140"/>
      <c r="D133" s="140"/>
      <c r="F133" s="140"/>
      <c r="G133" s="140"/>
      <c r="H133" s="140"/>
      <c r="I133" s="169"/>
      <c r="J133" s="169"/>
      <c r="K133" s="169"/>
      <c r="L133" s="169"/>
      <c r="M133" s="169"/>
      <c r="N133" s="169"/>
      <c r="O133" s="169"/>
      <c r="P133" s="136"/>
      <c r="Q133" s="169"/>
    </row>
    <row r="134" spans="1:17" s="154" customFormat="1" x14ac:dyDescent="0.2">
      <c r="A134" s="140"/>
      <c r="B134" s="140"/>
      <c r="C134" s="140"/>
      <c r="D134" s="140"/>
      <c r="F134" s="140"/>
      <c r="G134" s="140"/>
      <c r="H134" s="140"/>
      <c r="P134" s="136"/>
    </row>
    <row r="135" spans="1:17" s="154" customFormat="1" x14ac:dyDescent="0.2">
      <c r="A135" s="140"/>
      <c r="B135" s="140"/>
      <c r="C135" s="140"/>
      <c r="D135" s="140"/>
      <c r="F135" s="140"/>
      <c r="G135" s="140"/>
      <c r="H135" s="140"/>
      <c r="I135" s="169"/>
      <c r="J135" s="169"/>
      <c r="K135" s="169"/>
      <c r="L135" s="169"/>
      <c r="M135" s="169"/>
      <c r="N135" s="169"/>
      <c r="O135" s="169"/>
      <c r="P135" s="136"/>
      <c r="Q135" s="169"/>
    </row>
    <row r="136" spans="1:17" s="154" customFormat="1" x14ac:dyDescent="0.2">
      <c r="A136" s="140"/>
      <c r="B136" s="140"/>
      <c r="C136" s="140"/>
      <c r="D136" s="140"/>
      <c r="F136" s="140"/>
      <c r="G136" s="140"/>
      <c r="H136" s="140"/>
      <c r="I136" s="169"/>
      <c r="J136" s="169"/>
      <c r="K136" s="169"/>
      <c r="L136" s="169"/>
      <c r="M136" s="169"/>
      <c r="N136" s="169"/>
      <c r="O136" s="169"/>
      <c r="P136" s="136"/>
      <c r="Q136" s="169"/>
    </row>
    <row r="137" spans="1:17" s="154" customFormat="1" x14ac:dyDescent="0.2">
      <c r="A137" s="140"/>
      <c r="B137" s="140"/>
      <c r="C137" s="140"/>
      <c r="D137" s="140"/>
      <c r="F137" s="140"/>
      <c r="G137" s="140"/>
      <c r="H137" s="140"/>
      <c r="I137" s="169"/>
      <c r="J137" s="169"/>
      <c r="K137" s="169"/>
      <c r="L137" s="169"/>
      <c r="M137" s="169"/>
      <c r="N137" s="169"/>
      <c r="O137" s="169"/>
      <c r="P137" s="136"/>
      <c r="Q137" s="169"/>
    </row>
    <row r="138" spans="1:17" s="154" customFormat="1" x14ac:dyDescent="0.2">
      <c r="A138" s="140"/>
      <c r="B138" s="140"/>
      <c r="C138" s="140"/>
      <c r="D138" s="140"/>
      <c r="F138" s="140"/>
      <c r="G138" s="140"/>
      <c r="H138" s="140"/>
      <c r="I138" s="169"/>
      <c r="J138" s="169"/>
      <c r="K138" s="169"/>
      <c r="L138" s="169"/>
      <c r="M138" s="169"/>
      <c r="N138" s="169"/>
      <c r="O138" s="169"/>
      <c r="P138" s="136"/>
      <c r="Q138" s="169"/>
    </row>
    <row r="139" spans="1:17" s="154" customFormat="1" x14ac:dyDescent="0.2">
      <c r="A139" s="140"/>
      <c r="B139" s="140"/>
      <c r="C139" s="140"/>
      <c r="D139" s="140"/>
      <c r="F139" s="140"/>
      <c r="G139" s="140"/>
      <c r="H139" s="140"/>
      <c r="I139" s="169"/>
      <c r="J139" s="169"/>
      <c r="K139" s="169"/>
      <c r="L139" s="169"/>
      <c r="M139" s="169"/>
      <c r="N139" s="169"/>
      <c r="O139" s="169"/>
      <c r="P139" s="136"/>
      <c r="Q139" s="169"/>
    </row>
    <row r="140" spans="1:17" s="154" customFormat="1" x14ac:dyDescent="0.2">
      <c r="A140" s="140"/>
      <c r="B140" s="140"/>
      <c r="C140" s="140"/>
      <c r="D140" s="140"/>
      <c r="F140" s="140"/>
      <c r="G140" s="140"/>
      <c r="H140" s="140"/>
      <c r="I140" s="169"/>
      <c r="J140" s="169"/>
      <c r="K140" s="169"/>
      <c r="L140" s="169"/>
      <c r="M140" s="169"/>
      <c r="N140" s="169"/>
      <c r="O140" s="169"/>
      <c r="P140" s="136"/>
      <c r="Q140" s="169"/>
    </row>
    <row r="141" spans="1:17" s="154" customFormat="1" x14ac:dyDescent="0.2">
      <c r="A141" s="140"/>
      <c r="B141" s="140"/>
      <c r="C141" s="140"/>
      <c r="D141" s="140"/>
      <c r="F141" s="140"/>
      <c r="G141" s="140"/>
      <c r="H141" s="140"/>
      <c r="I141" s="169"/>
      <c r="J141" s="169"/>
      <c r="K141" s="169"/>
      <c r="L141" s="169"/>
      <c r="M141" s="169"/>
      <c r="N141" s="169"/>
      <c r="O141" s="169"/>
      <c r="P141" s="136"/>
      <c r="Q141" s="169"/>
    </row>
    <row r="142" spans="1:17" s="154" customFormat="1" x14ac:dyDescent="0.2">
      <c r="A142" s="140"/>
      <c r="B142" s="140"/>
      <c r="C142" s="140"/>
      <c r="D142" s="140"/>
      <c r="F142" s="140"/>
      <c r="G142" s="140"/>
      <c r="H142" s="140"/>
      <c r="I142" s="169"/>
      <c r="J142" s="169"/>
      <c r="K142" s="169"/>
      <c r="L142" s="169"/>
      <c r="M142" s="169"/>
      <c r="N142" s="169"/>
      <c r="O142" s="169"/>
      <c r="P142" s="136"/>
      <c r="Q142" s="169"/>
    </row>
    <row r="143" spans="1:17" s="154" customFormat="1" x14ac:dyDescent="0.2">
      <c r="A143" s="140"/>
      <c r="B143" s="140"/>
      <c r="C143" s="140"/>
      <c r="D143" s="140"/>
      <c r="F143" s="140"/>
      <c r="G143" s="140"/>
      <c r="H143" s="140"/>
      <c r="I143" s="169"/>
      <c r="J143" s="169"/>
      <c r="K143" s="169"/>
      <c r="L143" s="169"/>
      <c r="M143" s="169"/>
      <c r="N143" s="169"/>
      <c r="O143" s="169"/>
      <c r="P143" s="136"/>
      <c r="Q143" s="169"/>
    </row>
    <row r="144" spans="1:17" s="154" customFormat="1" x14ac:dyDescent="0.2">
      <c r="A144" s="140"/>
      <c r="B144" s="140"/>
      <c r="C144" s="140"/>
      <c r="D144" s="140"/>
      <c r="F144" s="140"/>
      <c r="G144" s="140"/>
      <c r="H144" s="140"/>
      <c r="I144" s="169"/>
      <c r="J144" s="169"/>
      <c r="K144" s="169"/>
      <c r="L144" s="169"/>
      <c r="M144" s="169"/>
      <c r="N144" s="169"/>
      <c r="O144" s="169"/>
      <c r="P144" s="136"/>
      <c r="Q144" s="169"/>
    </row>
    <row r="145" spans="1:17" s="154" customFormat="1" x14ac:dyDescent="0.2">
      <c r="A145" s="140"/>
      <c r="B145" s="140"/>
      <c r="C145" s="140"/>
      <c r="D145" s="140"/>
      <c r="F145" s="140"/>
      <c r="G145" s="140"/>
      <c r="H145" s="140"/>
      <c r="P145" s="136"/>
    </row>
    <row r="146" spans="1:17" s="154" customFormat="1" x14ac:dyDescent="0.2">
      <c r="A146" s="140"/>
      <c r="B146" s="140"/>
      <c r="C146" s="140"/>
      <c r="D146" s="170"/>
      <c r="F146" s="140"/>
      <c r="G146" s="140"/>
      <c r="H146" s="170"/>
      <c r="I146" s="169"/>
      <c r="J146" s="169"/>
      <c r="K146" s="169"/>
      <c r="L146" s="169"/>
      <c r="M146" s="169"/>
      <c r="N146" s="169"/>
      <c r="O146" s="169"/>
      <c r="P146" s="136"/>
      <c r="Q146" s="169"/>
    </row>
    <row r="147" spans="1:17" s="154" customFormat="1" x14ac:dyDescent="0.2">
      <c r="A147" s="140"/>
      <c r="B147" s="140"/>
      <c r="C147" s="140"/>
      <c r="D147" s="140"/>
      <c r="F147" s="140"/>
      <c r="G147" s="140"/>
      <c r="H147" s="140"/>
      <c r="I147" s="169"/>
      <c r="J147" s="169"/>
      <c r="K147" s="169"/>
      <c r="L147" s="169"/>
      <c r="M147" s="169"/>
      <c r="N147" s="169"/>
      <c r="O147" s="169"/>
      <c r="P147" s="136"/>
      <c r="Q147" s="169"/>
    </row>
    <row r="148" spans="1:17" s="154" customFormat="1" x14ac:dyDescent="0.2">
      <c r="A148" s="140"/>
      <c r="B148" s="140"/>
      <c r="C148" s="140"/>
      <c r="D148" s="140"/>
      <c r="F148" s="140"/>
      <c r="G148" s="140"/>
      <c r="H148" s="140"/>
      <c r="I148" s="169"/>
      <c r="J148" s="169"/>
      <c r="K148" s="169"/>
      <c r="L148" s="169"/>
      <c r="M148" s="169"/>
      <c r="N148" s="169"/>
      <c r="O148" s="169"/>
      <c r="P148" s="136"/>
      <c r="Q148" s="169"/>
    </row>
    <row r="149" spans="1:17" s="154" customFormat="1" x14ac:dyDescent="0.2">
      <c r="A149" s="140"/>
      <c r="B149" s="140"/>
      <c r="C149" s="140"/>
      <c r="D149" s="140"/>
      <c r="F149" s="170"/>
      <c r="G149" s="170"/>
      <c r="H149" s="140"/>
      <c r="I149" s="169"/>
      <c r="J149" s="169"/>
      <c r="K149" s="169"/>
      <c r="L149" s="169"/>
      <c r="M149" s="169"/>
      <c r="N149" s="169"/>
      <c r="O149" s="169"/>
      <c r="P149" s="136"/>
      <c r="Q149" s="169"/>
    </row>
    <row r="150" spans="1:17" s="154" customFormat="1" x14ac:dyDescent="0.2">
      <c r="A150" s="140"/>
      <c r="B150" s="140"/>
      <c r="C150" s="140"/>
      <c r="D150" s="140"/>
      <c r="F150" s="140"/>
      <c r="G150" s="140"/>
      <c r="H150" s="140"/>
      <c r="I150" s="169"/>
      <c r="J150" s="169"/>
      <c r="K150" s="169"/>
      <c r="L150" s="169"/>
      <c r="M150" s="169"/>
      <c r="N150" s="169"/>
      <c r="O150" s="169"/>
      <c r="P150" s="136"/>
      <c r="Q150" s="169"/>
    </row>
    <row r="151" spans="1:17" s="154" customFormat="1" x14ac:dyDescent="0.2">
      <c r="A151" s="140"/>
      <c r="B151" s="140"/>
      <c r="C151" s="140"/>
      <c r="D151" s="140"/>
      <c r="F151" s="140"/>
      <c r="G151" s="140"/>
      <c r="H151" s="140"/>
      <c r="I151" s="169"/>
      <c r="J151" s="169"/>
      <c r="K151" s="169"/>
      <c r="L151" s="169"/>
      <c r="M151" s="169"/>
      <c r="N151" s="169"/>
      <c r="O151" s="169"/>
      <c r="P151" s="136"/>
    </row>
    <row r="152" spans="1:17" s="154" customFormat="1" x14ac:dyDescent="0.2">
      <c r="A152" s="140"/>
      <c r="B152" s="140"/>
      <c r="C152" s="140"/>
      <c r="D152" s="140"/>
      <c r="F152" s="140"/>
      <c r="G152" s="140"/>
      <c r="H152" s="140"/>
      <c r="I152" s="169"/>
      <c r="J152" s="169"/>
      <c r="K152" s="169"/>
      <c r="L152" s="169"/>
      <c r="M152" s="169"/>
      <c r="N152" s="169"/>
      <c r="O152" s="169"/>
      <c r="P152" s="136"/>
    </row>
    <row r="153" spans="1:17" s="154" customFormat="1" x14ac:dyDescent="0.2">
      <c r="A153" s="140"/>
      <c r="B153" s="140"/>
      <c r="C153" s="140"/>
      <c r="D153" s="140"/>
      <c r="F153" s="140"/>
      <c r="G153" s="140"/>
      <c r="H153" s="140"/>
      <c r="I153" s="169"/>
      <c r="J153" s="169"/>
      <c r="K153" s="169"/>
      <c r="L153" s="169"/>
      <c r="M153" s="169"/>
      <c r="N153" s="169"/>
      <c r="O153" s="169"/>
      <c r="P153" s="136"/>
    </row>
    <row r="154" spans="1:17" s="154" customFormat="1" x14ac:dyDescent="0.2">
      <c r="A154" s="140"/>
      <c r="B154" s="140"/>
      <c r="C154" s="140"/>
      <c r="D154" s="140"/>
      <c r="F154" s="140"/>
      <c r="G154" s="140"/>
      <c r="H154" s="140"/>
      <c r="I154" s="169"/>
      <c r="J154" s="169"/>
      <c r="K154" s="169"/>
      <c r="L154" s="169"/>
      <c r="M154" s="169"/>
      <c r="N154" s="169"/>
      <c r="O154" s="169"/>
      <c r="P154" s="136"/>
    </row>
    <row r="155" spans="1:17" s="154" customFormat="1" x14ac:dyDescent="0.2">
      <c r="A155" s="140"/>
      <c r="B155" s="140"/>
      <c r="C155" s="140"/>
      <c r="D155" s="140"/>
      <c r="F155" s="140"/>
      <c r="G155" s="140"/>
      <c r="H155" s="140"/>
      <c r="I155" s="169"/>
      <c r="J155" s="169"/>
      <c r="K155" s="169"/>
      <c r="L155" s="169"/>
      <c r="M155" s="169"/>
      <c r="N155" s="169"/>
      <c r="O155" s="169"/>
      <c r="P155" s="136"/>
      <c r="Q155" s="169"/>
    </row>
    <row r="156" spans="1:17" s="154" customFormat="1" x14ac:dyDescent="0.2">
      <c r="A156" s="140"/>
      <c r="B156" s="140"/>
      <c r="C156" s="140"/>
      <c r="D156" s="140"/>
      <c r="F156" s="140"/>
      <c r="G156" s="140"/>
      <c r="H156" s="140"/>
      <c r="I156" s="169"/>
      <c r="J156" s="169"/>
      <c r="K156" s="169"/>
      <c r="L156" s="169"/>
      <c r="M156" s="169"/>
      <c r="N156" s="169"/>
      <c r="O156" s="169"/>
      <c r="P156" s="136"/>
      <c r="Q156" s="169"/>
    </row>
    <row r="157" spans="1:17" s="154" customFormat="1" x14ac:dyDescent="0.2">
      <c r="A157" s="140"/>
      <c r="B157" s="140"/>
      <c r="C157" s="140"/>
      <c r="D157" s="140"/>
      <c r="F157" s="140"/>
      <c r="G157" s="140"/>
      <c r="H157" s="140"/>
      <c r="I157" s="169"/>
      <c r="J157" s="169"/>
      <c r="K157" s="169"/>
      <c r="L157" s="169"/>
      <c r="M157" s="169"/>
      <c r="N157" s="169"/>
      <c r="O157" s="169"/>
      <c r="P157" s="136"/>
      <c r="Q157" s="169"/>
    </row>
    <row r="158" spans="1:17" s="154" customFormat="1" x14ac:dyDescent="0.2">
      <c r="A158" s="140"/>
      <c r="B158" s="140"/>
      <c r="C158" s="140"/>
      <c r="D158" s="140"/>
      <c r="F158" s="140"/>
      <c r="G158" s="140"/>
      <c r="H158" s="140"/>
      <c r="I158" s="169"/>
      <c r="J158" s="169"/>
      <c r="K158" s="169"/>
      <c r="L158" s="169"/>
      <c r="M158" s="169"/>
      <c r="N158" s="169"/>
      <c r="O158" s="169"/>
      <c r="P158" s="136"/>
    </row>
    <row r="159" spans="1:17" s="154" customFormat="1" x14ac:dyDescent="0.2">
      <c r="A159" s="140"/>
      <c r="B159" s="140"/>
      <c r="C159" s="140"/>
      <c r="D159" s="140"/>
      <c r="F159" s="140"/>
      <c r="G159" s="140"/>
      <c r="H159" s="140"/>
      <c r="I159" s="169"/>
      <c r="J159" s="169"/>
      <c r="K159" s="169"/>
      <c r="L159" s="169"/>
      <c r="M159" s="169"/>
      <c r="N159" s="169"/>
      <c r="O159" s="169"/>
      <c r="P159" s="136"/>
    </row>
    <row r="160" spans="1:17" s="154" customFormat="1" x14ac:dyDescent="0.2">
      <c r="A160" s="140"/>
      <c r="B160" s="140"/>
      <c r="C160" s="140"/>
      <c r="D160" s="140"/>
      <c r="F160" s="140"/>
      <c r="G160" s="140"/>
      <c r="H160" s="140"/>
      <c r="I160" s="169"/>
      <c r="J160" s="169"/>
      <c r="K160" s="169"/>
      <c r="L160" s="169"/>
      <c r="M160" s="169"/>
      <c r="N160" s="169"/>
      <c r="O160" s="169"/>
      <c r="P160" s="136"/>
    </row>
    <row r="161" spans="1:16" s="154" customFormat="1" x14ac:dyDescent="0.2">
      <c r="A161" s="140"/>
      <c r="B161" s="140"/>
      <c r="C161" s="140"/>
      <c r="D161" s="140"/>
      <c r="F161" s="140"/>
      <c r="G161" s="140"/>
      <c r="H161" s="140"/>
      <c r="I161" s="169"/>
      <c r="J161" s="169"/>
      <c r="K161" s="169"/>
      <c r="L161" s="169"/>
      <c r="M161" s="169"/>
      <c r="N161" s="169"/>
      <c r="O161" s="169"/>
      <c r="P161" s="136"/>
    </row>
    <row r="162" spans="1:16" s="154" customFormat="1" x14ac:dyDescent="0.2">
      <c r="A162" s="140"/>
      <c r="B162" s="140"/>
      <c r="C162" s="140"/>
      <c r="D162" s="140"/>
      <c r="F162" s="140"/>
      <c r="G162" s="140"/>
      <c r="H162" s="140"/>
      <c r="I162" s="169"/>
      <c r="J162" s="169"/>
      <c r="K162" s="169"/>
      <c r="L162" s="169"/>
      <c r="M162" s="169"/>
      <c r="N162" s="169"/>
      <c r="O162" s="169"/>
      <c r="P162" s="136"/>
    </row>
    <row r="163" spans="1:16" s="154" customFormat="1" x14ac:dyDescent="0.2">
      <c r="A163" s="140"/>
      <c r="B163" s="140"/>
      <c r="C163" s="140"/>
      <c r="D163" s="140"/>
      <c r="F163" s="140"/>
      <c r="G163" s="140"/>
      <c r="H163" s="140"/>
      <c r="I163" s="169"/>
      <c r="J163" s="169"/>
      <c r="K163" s="169"/>
      <c r="L163" s="169"/>
      <c r="M163" s="169"/>
      <c r="N163" s="169"/>
      <c r="O163" s="169"/>
      <c r="P163" s="136"/>
    </row>
    <row r="164" spans="1:16" s="154" customFormat="1" x14ac:dyDescent="0.2">
      <c r="A164" s="140"/>
      <c r="B164" s="140"/>
      <c r="C164" s="140"/>
      <c r="D164" s="140"/>
      <c r="F164" s="140"/>
      <c r="G164" s="140"/>
      <c r="H164" s="140"/>
      <c r="I164" s="169"/>
      <c r="J164" s="169"/>
      <c r="K164" s="169"/>
      <c r="L164" s="169"/>
      <c r="M164" s="169"/>
      <c r="N164" s="169"/>
      <c r="O164" s="169"/>
      <c r="P164" s="136"/>
    </row>
    <row r="165" spans="1:16" s="154" customFormat="1" x14ac:dyDescent="0.2">
      <c r="A165" s="140"/>
      <c r="B165" s="140"/>
      <c r="C165" s="140"/>
      <c r="D165" s="140"/>
      <c r="F165" s="140"/>
      <c r="G165" s="140"/>
      <c r="H165" s="140"/>
      <c r="I165" s="169"/>
      <c r="J165" s="169"/>
      <c r="K165" s="169"/>
      <c r="L165" s="169"/>
      <c r="M165" s="169"/>
      <c r="N165" s="169"/>
      <c r="O165" s="169"/>
      <c r="P165" s="136"/>
    </row>
    <row r="166" spans="1:16" s="154" customFormat="1" x14ac:dyDescent="0.2">
      <c r="A166" s="140"/>
      <c r="B166" s="140"/>
      <c r="C166" s="140"/>
      <c r="D166" s="140"/>
      <c r="F166" s="140"/>
      <c r="G166" s="140"/>
      <c r="H166" s="140"/>
      <c r="I166" s="169"/>
      <c r="J166" s="169"/>
      <c r="K166" s="169"/>
      <c r="L166" s="169"/>
      <c r="M166" s="169"/>
      <c r="N166" s="169"/>
      <c r="O166" s="169"/>
      <c r="P166" s="136"/>
    </row>
    <row r="167" spans="1:16" s="154" customFormat="1" x14ac:dyDescent="0.2">
      <c r="A167" s="140"/>
      <c r="B167" s="140"/>
      <c r="C167" s="140"/>
      <c r="D167" s="140"/>
      <c r="F167" s="140"/>
      <c r="G167" s="140"/>
      <c r="H167" s="140"/>
      <c r="I167" s="169"/>
      <c r="J167" s="169"/>
      <c r="K167" s="169"/>
      <c r="L167" s="169"/>
      <c r="M167" s="169"/>
      <c r="N167" s="169"/>
      <c r="O167" s="169"/>
      <c r="P167" s="136"/>
    </row>
    <row r="168" spans="1:16" s="154" customFormat="1" x14ac:dyDescent="0.2">
      <c r="A168" s="140"/>
      <c r="B168" s="140"/>
      <c r="C168" s="140"/>
      <c r="D168" s="140"/>
      <c r="F168" s="140"/>
      <c r="G168" s="140"/>
      <c r="H168" s="140"/>
      <c r="I168" s="169"/>
      <c r="J168" s="169"/>
      <c r="K168" s="169"/>
      <c r="L168" s="169"/>
      <c r="M168" s="169"/>
      <c r="N168" s="169"/>
      <c r="O168" s="169"/>
      <c r="P168" s="136"/>
    </row>
    <row r="169" spans="1:16" s="154" customFormat="1" x14ac:dyDescent="0.2">
      <c r="A169" s="140"/>
      <c r="B169" s="140"/>
      <c r="C169" s="140"/>
      <c r="D169" s="140"/>
      <c r="F169" s="140"/>
      <c r="G169" s="140"/>
      <c r="H169" s="140"/>
      <c r="I169" s="169"/>
      <c r="J169" s="169"/>
      <c r="K169" s="169"/>
      <c r="L169" s="169"/>
      <c r="M169" s="169"/>
      <c r="N169" s="169"/>
      <c r="O169" s="169"/>
      <c r="P169" s="136"/>
    </row>
    <row r="170" spans="1:16" s="154" customFormat="1" x14ac:dyDescent="0.2">
      <c r="A170" s="140"/>
      <c r="B170" s="140"/>
      <c r="C170" s="140"/>
      <c r="D170" s="140"/>
      <c r="F170" s="140"/>
      <c r="G170" s="140"/>
      <c r="H170" s="140"/>
      <c r="I170" s="169"/>
      <c r="J170" s="169"/>
      <c r="K170" s="169"/>
      <c r="L170" s="169"/>
      <c r="M170" s="169"/>
      <c r="N170" s="169"/>
      <c r="O170" s="169"/>
      <c r="P170" s="136"/>
    </row>
    <row r="171" spans="1:16" s="154" customFormat="1" x14ac:dyDescent="0.2">
      <c r="A171" s="140"/>
      <c r="B171" s="140"/>
      <c r="C171" s="140"/>
      <c r="D171" s="140"/>
      <c r="F171" s="140"/>
      <c r="G171" s="140"/>
      <c r="H171" s="140"/>
      <c r="I171" s="169"/>
      <c r="J171" s="169"/>
      <c r="K171" s="169"/>
      <c r="L171" s="169"/>
      <c r="M171" s="169"/>
      <c r="N171" s="169"/>
      <c r="O171" s="169"/>
      <c r="P171" s="136"/>
    </row>
    <row r="172" spans="1:16" s="154" customFormat="1" x14ac:dyDescent="0.2">
      <c r="A172" s="140"/>
      <c r="B172" s="140"/>
      <c r="C172" s="140"/>
      <c r="D172" s="140"/>
      <c r="F172" s="140"/>
      <c r="G172" s="140"/>
      <c r="H172" s="140"/>
      <c r="I172" s="169"/>
      <c r="J172" s="169"/>
      <c r="K172" s="169"/>
      <c r="L172" s="169"/>
      <c r="M172" s="169"/>
      <c r="N172" s="169"/>
      <c r="O172" s="169"/>
      <c r="P172" s="136"/>
    </row>
    <row r="173" spans="1:16" s="154" customFormat="1" x14ac:dyDescent="0.2">
      <c r="A173" s="140"/>
      <c r="B173" s="140"/>
      <c r="C173" s="140"/>
      <c r="D173" s="140"/>
      <c r="F173" s="140"/>
      <c r="G173" s="140"/>
      <c r="H173" s="140"/>
      <c r="I173" s="169"/>
      <c r="J173" s="169"/>
      <c r="K173" s="169"/>
      <c r="L173" s="169"/>
      <c r="M173" s="169"/>
      <c r="N173" s="169"/>
      <c r="O173" s="169"/>
      <c r="P173" s="136"/>
    </row>
    <row r="174" spans="1:16" s="154" customFormat="1" x14ac:dyDescent="0.2">
      <c r="A174" s="140"/>
      <c r="B174" s="140"/>
      <c r="C174" s="140"/>
      <c r="D174" s="140"/>
      <c r="F174" s="140"/>
      <c r="G174" s="140"/>
      <c r="H174" s="140"/>
      <c r="I174" s="169"/>
      <c r="J174" s="169"/>
      <c r="K174" s="169"/>
      <c r="L174" s="169"/>
      <c r="M174" s="169"/>
      <c r="N174" s="169"/>
      <c r="O174" s="169"/>
      <c r="P174" s="136"/>
    </row>
    <row r="175" spans="1:16" s="154" customFormat="1" x14ac:dyDescent="0.2">
      <c r="A175" s="140"/>
      <c r="B175" s="140"/>
      <c r="C175" s="140"/>
      <c r="D175" s="140"/>
      <c r="F175" s="140"/>
      <c r="G175" s="140"/>
      <c r="H175" s="140"/>
      <c r="I175" s="169"/>
      <c r="J175" s="169"/>
      <c r="K175" s="169"/>
      <c r="L175" s="169"/>
      <c r="M175" s="169"/>
      <c r="N175" s="169"/>
      <c r="O175" s="169"/>
      <c r="P175" s="136"/>
    </row>
    <row r="176" spans="1:16" s="154" customFormat="1" x14ac:dyDescent="0.2">
      <c r="A176" s="140"/>
      <c r="B176" s="140"/>
      <c r="C176" s="140"/>
      <c r="D176" s="140"/>
      <c r="F176" s="140"/>
      <c r="G176" s="140"/>
      <c r="H176" s="140"/>
      <c r="I176" s="169"/>
      <c r="J176" s="169"/>
      <c r="K176" s="169"/>
      <c r="L176" s="169"/>
      <c r="M176" s="169"/>
      <c r="N176" s="169"/>
      <c r="O176" s="169"/>
      <c r="P176" s="136"/>
    </row>
    <row r="177" spans="1:17" s="154" customFormat="1" x14ac:dyDescent="0.2">
      <c r="A177" s="140"/>
      <c r="B177" s="140"/>
      <c r="C177" s="140"/>
      <c r="D177" s="140"/>
      <c r="F177" s="140"/>
      <c r="G177" s="140"/>
      <c r="H177" s="140"/>
      <c r="I177" s="169"/>
      <c r="J177" s="169"/>
      <c r="K177" s="169"/>
      <c r="L177" s="169"/>
      <c r="M177" s="169"/>
      <c r="N177" s="169"/>
      <c r="O177" s="169"/>
      <c r="P177" s="136"/>
    </row>
    <row r="178" spans="1:17" s="154" customFormat="1" x14ac:dyDescent="0.2">
      <c r="A178" s="140"/>
      <c r="B178" s="140"/>
      <c r="C178" s="140"/>
      <c r="D178" s="140"/>
      <c r="F178" s="140"/>
      <c r="G178" s="140"/>
      <c r="H178" s="140"/>
      <c r="I178" s="169"/>
      <c r="J178" s="169"/>
      <c r="K178" s="169"/>
      <c r="L178" s="169"/>
      <c r="M178" s="169"/>
      <c r="N178" s="169"/>
      <c r="O178" s="169"/>
      <c r="P178" s="136"/>
    </row>
    <row r="179" spans="1:17" s="154" customFormat="1" x14ac:dyDescent="0.2">
      <c r="A179" s="140"/>
      <c r="B179" s="140"/>
      <c r="C179" s="140"/>
      <c r="D179" s="140"/>
      <c r="F179" s="140"/>
      <c r="G179" s="140"/>
      <c r="H179" s="140"/>
      <c r="I179" s="169"/>
      <c r="J179" s="169"/>
      <c r="K179" s="169"/>
      <c r="L179" s="169"/>
      <c r="M179" s="169"/>
      <c r="N179" s="169"/>
      <c r="O179" s="169"/>
      <c r="P179" s="136"/>
    </row>
    <row r="180" spans="1:17" s="154" customFormat="1" x14ac:dyDescent="0.2">
      <c r="A180" s="140"/>
      <c r="B180" s="140"/>
      <c r="C180" s="140"/>
      <c r="D180" s="140"/>
      <c r="F180" s="140"/>
      <c r="G180" s="140"/>
      <c r="H180" s="140"/>
      <c r="I180" s="169"/>
      <c r="J180" s="169"/>
      <c r="K180" s="169"/>
      <c r="L180" s="169"/>
      <c r="M180" s="169"/>
      <c r="N180" s="169"/>
      <c r="O180" s="169"/>
      <c r="P180" s="136"/>
    </row>
    <row r="181" spans="1:17" s="154" customFormat="1" x14ac:dyDescent="0.2">
      <c r="A181" s="140"/>
      <c r="B181" s="140"/>
      <c r="C181" s="140"/>
      <c r="D181" s="140"/>
      <c r="F181" s="140"/>
      <c r="G181" s="140"/>
      <c r="H181" s="140"/>
      <c r="I181" s="169"/>
      <c r="J181" s="169"/>
      <c r="K181" s="169"/>
      <c r="L181" s="169"/>
      <c r="M181" s="169"/>
      <c r="N181" s="169"/>
      <c r="O181" s="169"/>
      <c r="P181" s="136"/>
      <c r="Q181" s="169"/>
    </row>
    <row r="182" spans="1:17" s="154" customFormat="1" x14ac:dyDescent="0.2">
      <c r="A182" s="140"/>
      <c r="B182" s="140"/>
      <c r="C182" s="140"/>
      <c r="D182" s="140"/>
      <c r="F182" s="140"/>
      <c r="G182" s="140"/>
      <c r="H182" s="140"/>
      <c r="I182" s="169"/>
      <c r="J182" s="169"/>
      <c r="K182" s="169"/>
      <c r="L182" s="169"/>
      <c r="M182" s="169"/>
      <c r="N182" s="169"/>
      <c r="O182" s="169"/>
      <c r="P182" s="136"/>
      <c r="Q182" s="169"/>
    </row>
    <row r="183" spans="1:17" s="154" customFormat="1" x14ac:dyDescent="0.2">
      <c r="A183" s="140"/>
      <c r="B183" s="140"/>
      <c r="C183" s="140"/>
      <c r="D183" s="140"/>
      <c r="F183" s="140"/>
      <c r="G183" s="140"/>
      <c r="H183" s="140"/>
      <c r="I183" s="169"/>
      <c r="J183" s="169"/>
      <c r="K183" s="169"/>
      <c r="L183" s="169"/>
      <c r="M183" s="169"/>
      <c r="N183" s="169"/>
      <c r="O183" s="169"/>
      <c r="P183" s="136"/>
      <c r="Q183" s="169"/>
    </row>
    <row r="184" spans="1:17" s="154" customFormat="1" x14ac:dyDescent="0.2">
      <c r="A184" s="140"/>
      <c r="B184" s="140"/>
      <c r="C184" s="140"/>
      <c r="D184" s="140"/>
      <c r="F184" s="140"/>
      <c r="G184" s="140"/>
      <c r="H184" s="140"/>
      <c r="I184" s="169"/>
      <c r="J184" s="169"/>
      <c r="K184" s="169"/>
      <c r="L184" s="169"/>
      <c r="M184" s="169"/>
      <c r="N184" s="169"/>
      <c r="O184" s="169"/>
      <c r="P184" s="136"/>
      <c r="Q184" s="169"/>
    </row>
    <row r="185" spans="1:17" s="154" customFormat="1" x14ac:dyDescent="0.2">
      <c r="A185" s="140"/>
      <c r="B185" s="140"/>
      <c r="C185" s="140"/>
      <c r="D185" s="140"/>
      <c r="F185" s="140"/>
      <c r="G185" s="140"/>
      <c r="H185" s="140"/>
      <c r="I185" s="169"/>
      <c r="J185" s="169"/>
      <c r="K185" s="169"/>
      <c r="L185" s="169"/>
      <c r="M185" s="169"/>
      <c r="N185" s="169"/>
      <c r="O185" s="169"/>
      <c r="P185" s="136"/>
      <c r="Q185" s="169"/>
    </row>
    <row r="186" spans="1:17" s="154" customFormat="1" x14ac:dyDescent="0.2">
      <c r="A186" s="140"/>
      <c r="B186" s="140"/>
      <c r="C186" s="140"/>
      <c r="D186" s="140"/>
      <c r="F186" s="140"/>
      <c r="G186" s="140"/>
      <c r="H186" s="140"/>
      <c r="I186" s="169"/>
      <c r="J186" s="169"/>
      <c r="K186" s="169"/>
      <c r="L186" s="169"/>
      <c r="M186" s="169"/>
      <c r="N186" s="169"/>
      <c r="O186" s="169"/>
      <c r="P186" s="136"/>
      <c r="Q186" s="169"/>
    </row>
    <row r="187" spans="1:17" x14ac:dyDescent="0.2">
      <c r="F187" s="140"/>
      <c r="G187" s="140"/>
      <c r="Q187" s="155"/>
    </row>
    <row r="188" spans="1:17" x14ac:dyDescent="0.2">
      <c r="F188" s="140"/>
      <c r="G188" s="140"/>
      <c r="Q188" s="155"/>
    </row>
    <row r="189" spans="1:17" x14ac:dyDescent="0.2">
      <c r="F189" s="140"/>
      <c r="G189" s="140"/>
      <c r="Q189" s="155"/>
    </row>
    <row r="191" spans="1:17" x14ac:dyDescent="0.2">
      <c r="Q191" s="155"/>
    </row>
    <row r="192" spans="1:17" x14ac:dyDescent="0.2">
      <c r="Q192" s="155"/>
    </row>
  </sheetData>
  <mergeCells count="11">
    <mergeCell ref="A13:E14"/>
    <mergeCell ref="T4:X5"/>
    <mergeCell ref="V21:V22"/>
    <mergeCell ref="W21:W22"/>
    <mergeCell ref="X21:X22"/>
    <mergeCell ref="A11:F11"/>
    <mergeCell ref="Y21:Y22"/>
    <mergeCell ref="K4:P5"/>
    <mergeCell ref="S6:AA7"/>
    <mergeCell ref="I6:Q7"/>
    <mergeCell ref="S10:Z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to WT channel</vt:lpstr>
      <vt:lpstr>Variant mean values </vt:lpstr>
      <vt:lpstr>Functional phenotype &amp; rescue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Vanoye</dc:creator>
  <cp:lastModifiedBy>Alfred L. George Jr.</cp:lastModifiedBy>
  <dcterms:created xsi:type="dcterms:W3CDTF">2021-01-20T21:51:54Z</dcterms:created>
  <dcterms:modified xsi:type="dcterms:W3CDTF">2022-01-20T22:08:32Z</dcterms:modified>
</cp:coreProperties>
</file>